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 Loose" sheetId="1" state="visible" r:id="rId3"/>
    <sheet name="B Made" sheetId="2" state="visible" r:id="rId4"/>
    <sheet name="C Kits" sheetId="3" state="visible" r:id="rId5"/>
    <sheet name="Recipes" sheetId="4" state="visible" r:id="rId6"/>
    <sheet name="Movements" sheetId="5" state="visible" r:id="rId7"/>
    <sheet name="Master SKU Fee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<sst xmlns="http://schemas.openxmlformats.org/spreadsheetml/2006/main" count="159" uniqueCount="103">
  <si>
    <t xml:space="preserve">A — Loose Items (what you count on the shelf)</t>
  </si>
  <si>
    <t xml:space="preserve">Type in the amber columns only; grey columns work themselves out. Opening Qty is your starting count — everything after it comes from the Movements tab. Unit is a fixed list; Pcs per Pack only opens up on a unit that holds pieces (Box, Pack, Set, Bundle, Dozen, Roll). The three Sold columns say where the stock went: sold loose on its own, gone into a B item, or gone straight into a kit. Opening + Received - the three Sold columns + Adjusted = Stock in Hand.</t>
  </si>
  <si>
    <t xml:space="preserve">Code</t>
  </si>
  <si>
    <t xml:space="preserve">Item Name</t>
  </si>
  <si>
    <t xml:space="preserve">Unit</t>
  </si>
  <si>
    <t xml:space="preserve">Pcs per Pack</t>
  </si>
  <si>
    <t xml:space="preserve">Opening Qty</t>
  </si>
  <si>
    <t xml:space="preserve">Received</t>
  </si>
  <si>
    <t xml:space="preserve">Sold as A</t>
  </si>
  <si>
    <t xml:space="preserve">Sold as B</t>
  </si>
  <si>
    <t xml:space="preserve">Sold as C</t>
  </si>
  <si>
    <t xml:space="preserve">Adjusted</t>
  </si>
  <si>
    <t xml:space="preserve">STOCK IN HAND</t>
  </si>
  <si>
    <t xml:space="preserve">Notes</t>
  </si>
  <si>
    <t xml:space="preserve">WHT-BAL</t>
  </si>
  <si>
    <t xml:space="preserve">White Balloon</t>
  </si>
  <si>
    <t xml:space="preserve">Box</t>
  </si>
  <si>
    <t xml:space="preserve">EXAMPLE ROWS - delete rows 5-9 and put your own items in</t>
  </si>
  <si>
    <t xml:space="preserve">GLD-FOIL-1</t>
  </si>
  <si>
    <t xml:space="preserve">Gold Foil Number 1</t>
  </si>
  <si>
    <t xml:space="preserve">Pcs</t>
  </si>
  <si>
    <t xml:space="preserve">BOX-SM</t>
  </si>
  <si>
    <t xml:space="preserve">Small Gift Box</t>
  </si>
  <si>
    <t xml:space="preserve">BANNER-HB</t>
  </si>
  <si>
    <t xml:space="preserve">Happy Birthday Banner</t>
  </si>
  <si>
    <t xml:space="preserve">PUMP</t>
  </si>
  <si>
    <t xml:space="preserve">Hand Pump</t>
  </si>
  <si>
    <t xml:space="preserve">B — Made Items (assembled from loose items, counted as 1 each)</t>
  </si>
  <si>
    <t xml:space="preserve">Type Code and Item Name only. Parts go on the Recipes tab, quantities built go on Movements. ON HAND = made up and sitting there. CAN BUILD FROM A = how many more the loose stock would cover.</t>
  </si>
  <si>
    <t xml:space="preserve">Built</t>
  </si>
  <si>
    <t xml:space="preserve">Needed by Kits</t>
  </si>
  <si>
    <t xml:space="preserve">ON HAND</t>
  </si>
  <si>
    <t xml:space="preserve">Effective Built</t>
  </si>
  <si>
    <t xml:space="preserve">Can Build from A</t>
  </si>
  <si>
    <t xml:space="preserve">TOTAL POSSIBLE</t>
  </si>
  <si>
    <t xml:space="preserve">Limiting Loose Item</t>
  </si>
  <si>
    <t xml:space="preserve">Used by # Kits</t>
  </si>
  <si>
    <t xml:space="preserve">B-BOX-ONE</t>
  </si>
  <si>
    <t xml:space="preserve">One Balloon Box</t>
  </si>
  <si>
    <t xml:space="preserve">EXAMPLE ROWS - delete rows 5-7</t>
  </si>
  <si>
    <t xml:space="preserve">B-BANNER</t>
  </si>
  <si>
    <t xml:space="preserve">Banner Pack</t>
  </si>
  <si>
    <t xml:space="preserve">B-PUMP</t>
  </si>
  <si>
    <t xml:space="preserve">Pump Pack</t>
  </si>
  <si>
    <t xml:space="preserve">C — Kits (packed per order from B items)</t>
  </si>
  <si>
    <t xml:space="preserve">Type Code, Kit Name, the Marketplace SKU you sell it as, and its Price. A kit can be built from B items, loose A items, or a mix of both. Kits are packed per order so there is no shelf count: CAN PACK NOW is what today's made-up and loose stock covers; CAN PACK IF WE BUILD also counts B items not assembled yet.</t>
  </si>
  <si>
    <t xml:space="preserve">Kit Name</t>
  </si>
  <si>
    <t xml:space="preserve">Marketplace SKU</t>
  </si>
  <si>
    <t xml:space="preserve">Price</t>
  </si>
  <si>
    <t xml:space="preserve">Sold</t>
  </si>
  <si>
    <t xml:space="preserve">CAN PACK NOW</t>
  </si>
  <si>
    <t xml:space="preserve">CAN PACK IF WE BUILD</t>
  </si>
  <si>
    <t xml:space="preserve">Limiting B Item</t>
  </si>
  <si>
    <t xml:space="preserve">Shared Parts</t>
  </si>
  <si>
    <t xml:space="preserve">C-1ST-BDAY</t>
  </si>
  <si>
    <t xml:space="preserve">First Birthday Kit</t>
  </si>
  <si>
    <t xml:space="preserve">SK-1STBDAY-KIT</t>
  </si>
  <si>
    <t xml:space="preserve">EXAMPLE ROWS - delete rows 5-6</t>
  </si>
  <si>
    <t xml:space="preserve">C-BOX-DUO</t>
  </si>
  <si>
    <t xml:space="preserve">Twin Box Kit</t>
  </si>
  <si>
    <t xml:space="preserve">SK-BOXDUO-KIT</t>
  </si>
  <si>
    <t xml:space="preserve">Recipes — one row per ingredient</t>
  </si>
  <si>
    <t xml:space="preserve">One row for every ingredient, so an item can have any number of parts. A B item is built from A codes. A C kit can use B codes, A codes, or both — the Component Type column works out which, so just type the code. The pale columns on the right are working-out; leave them be.</t>
  </si>
  <si>
    <t xml:space="preserve">Parent Code</t>
  </si>
  <si>
    <t xml:space="preserve">Level</t>
  </si>
  <si>
    <t xml:space="preserve">Component Code</t>
  </si>
  <si>
    <t xml:space="preserve">Qty per Unit</t>
  </si>
  <si>
    <t xml:space="preserve">Component Type</t>
  </si>
  <si>
    <t xml:space="preserve">Component Name</t>
  </si>
  <si>
    <t xml:space="preserve">Units Made</t>
  </si>
  <si>
    <t xml:space="preserve">Total Consumed</t>
  </si>
  <si>
    <t xml:space="preserve">Buildable from this part</t>
  </si>
  <si>
    <t xml:space="preserve">Packable now from this part</t>
  </si>
  <si>
    <t xml:space="preserve">Packable if we build</t>
  </si>
  <si>
    <t xml:space="preserve">key C</t>
  </si>
  <si>
    <t xml:space="preserve">key B</t>
  </si>
  <si>
    <t xml:space="preserve">kits using this part</t>
  </si>
  <si>
    <t xml:space="preserve">Kit-wide need for this loose item</t>
  </si>
  <si>
    <t xml:space="preserve">B</t>
  </si>
  <si>
    <t xml:space="preserve">C</t>
  </si>
  <si>
    <t xml:space="preserve">Movements — every stock event</t>
  </si>
  <si>
    <t xml:space="preserve">The only tab where quantities are typed. Receive = loose stock in (A code). Build = B items assembled (B code). Sell = sold — a kit (C code) or a loose item sold on its own (A code). Adjust = correction, damage or recount, signed + or - (A or B code).</t>
  </si>
  <si>
    <t xml:space="preserve">Date</t>
  </si>
  <si>
    <t xml:space="preserve">Type</t>
  </si>
  <si>
    <t xml:space="preserve">Qty</t>
  </si>
  <si>
    <t xml:space="preserve">Note</t>
  </si>
  <si>
    <t xml:space="preserve">Receive</t>
  </si>
  <si>
    <t xml:space="preserve">EXAMPLE - stock in from supplier</t>
  </si>
  <si>
    <t xml:space="preserve">Build</t>
  </si>
  <si>
    <t xml:space="preserve">EXAMPLE - assembled 20 boxes</t>
  </si>
  <si>
    <t xml:space="preserve">Sell</t>
  </si>
  <si>
    <t xml:space="preserve">EXAMPLE - kits sold</t>
  </si>
  <si>
    <t xml:space="preserve">Adjust</t>
  </si>
  <si>
    <t xml:space="preserve">EXAMPLE - damaged in transit</t>
  </si>
  <si>
    <t xml:space="preserve">Master SKU Feed — qty and price for the Master SKU file</t>
  </si>
  <si>
    <t xml:space="preserve">Paste your Master SKU list into column A. Any SKU that matches a Marketplace SKU on the C Kits tab gets its quantity and price filled in; anything else is flagged so you can see the gap.</t>
  </si>
  <si>
    <t xml:space="preserve">Qty basis:</t>
  </si>
  <si>
    <t xml:space="preserve">Can pack if we build</t>
  </si>
  <si>
    <t xml:space="preserve">"Can pack now" counts only made-up B stock. "Can pack if we build" also counts loose stock that has not been assembled yet — the bigger, riskier number.</t>
  </si>
  <si>
    <t xml:space="preserve">Master SKU</t>
  </si>
  <si>
    <t xml:space="preserve">Kit Code</t>
  </si>
  <si>
    <t xml:space="preserve">Status</t>
  </si>
  <si>
    <t xml:space="preserve">SK-NOT-A-KIT-YET</t>
  </si>
</sst>
</file>

<file path=xl/styles.xml><?xml version="1.0" encoding="utf-8"?>
<styleSheet xmlns="http://schemas.openxmlformats.org/spreadsheetml/2006/main">
  <numFmts count="4">
    <numFmt numFmtId="164" formatCode="General"/>
    <numFmt numFmtId="165" formatCode="#,##0"/>
    <numFmt numFmtId="166" formatCode="#,##0.00"/>
    <numFmt numFmtId="167" formatCode="dd\-mm\-yyyy"/>
  </numFmts>
  <fonts count="11">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595959"/>
      <name val="Arial"/>
      <family val="0"/>
      <charset val="1"/>
    </font>
    <font>
      <b val="true"/>
      <sz val="10"/>
      <color rgb="FFFFFFFF"/>
      <name val="Arial"/>
      <family val="0"/>
      <charset val="1"/>
    </font>
    <font>
      <sz val="10"/>
      <color rgb="FF0000FF"/>
      <name val="Arial"/>
      <family val="0"/>
      <charset val="1"/>
    </font>
    <font>
      <sz val="10"/>
      <name val="Arial"/>
      <family val="0"/>
      <charset val="1"/>
    </font>
    <font>
      <sz val="9"/>
      <color rgb="FF9C9C9C"/>
      <name val="Arial"/>
      <family val="0"/>
      <charset val="1"/>
    </font>
    <font>
      <b val="true"/>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EDEDED"/>
      </patternFill>
    </fill>
    <fill>
      <patternFill patternType="solid">
        <fgColor rgb="FFE8E8E8"/>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5" fontId="9" fillId="5"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E8E8E8"/>
      <rgbColor rgb="FFFFFF99"/>
      <rgbColor rgb="FF99CCFF"/>
      <rgbColor rgb="FFFF99CC"/>
      <rgbColor rgb="FFCC99FF"/>
      <rgbColor rgb="FFFFCC99"/>
      <rgbColor rgb="FF3366FF"/>
      <rgbColor rgb="FF33CCCC"/>
      <rgbColor rgb="FF99CC00"/>
      <rgbColor rgb="FFFFCC00"/>
      <rgbColor rgb="FFFF9900"/>
      <rgbColor rgb="FFFF6600"/>
      <rgbColor rgb="FF595959"/>
      <rgbColor rgb="FF9C9C9C"/>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9"/>
    <col collapsed="false" customWidth="true" hidden="false" outlineLevel="0" max="4" min="4" style="0" width="11"/>
    <col collapsed="false" customWidth="true" hidden="false" outlineLevel="0" max="5" min="5" style="0" width="12"/>
    <col collapsed="false" customWidth="true" hidden="false" outlineLevel="0" max="9" min="6" style="0" width="11"/>
    <col collapsed="false" customWidth="true" hidden="false" outlineLevel="0" max="10" min="10" style="0" width="10"/>
    <col collapsed="false" customWidth="true" hidden="false" outlineLevel="0" max="11" min="11" style="0" width="13"/>
    <col collapsed="false" customWidth="true" hidden="false" outlineLevel="0" max="12" min="12" style="0" width="26"/>
  </cols>
  <sheetData>
    <row r="1" customFormat="false" ht="16.15" hidden="false" customHeight="false" outlineLevel="0" collapsed="false">
      <c r="A1" s="1" t="s">
        <v>0</v>
      </c>
    </row>
    <row r="2" customFormat="false" ht="25.5" hidden="false" customHeight="true" outlineLevel="0" collapsed="false">
      <c r="A2" s="2" t="s">
        <v>1</v>
      </c>
    </row>
    <row r="4" customFormat="false" ht="33.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15" hidden="false" customHeight="false" outlineLevel="0" collapsed="false">
      <c r="A5" s="4" t="s">
        <v>14</v>
      </c>
      <c r="B5" s="4" t="s">
        <v>15</v>
      </c>
      <c r="C5" s="4" t="s">
        <v>16</v>
      </c>
      <c r="D5" s="4" t="n">
        <v>100</v>
      </c>
      <c r="E5" s="4" t="n">
        <v>1000</v>
      </c>
      <c r="F5" s="5" t="n">
        <f aca="false">IF($A5="","",SUMIFS(Movements!$D$5:$D$304,Movements!$C$5:$C$304,$A5,Movements!$B$5:$B$304,"Receive"))</f>
        <v>500</v>
      </c>
      <c r="G5" s="5" t="n">
        <f aca="false">IF($A5="","",SUMIFS(Movements!$D$5:$D$304,Movements!$C$5:$C$304,$A5,Movements!$B$5:$B$304,"Sell"))</f>
        <v>0</v>
      </c>
      <c r="H5" s="5" t="n">
        <f aca="false">IF($A5="","",SUMIFS(Recipes!$H$5:$H$104,Recipes!$C$5:$C$104,$A5,Recipes!$B$5:$B$104,"B"))</f>
        <v>780</v>
      </c>
      <c r="I5" s="5" t="n">
        <f aca="false">IF($A5="","",SUMIFS(Recipes!$H$5:$H$104,Recipes!$C$5:$C$104,$A5,Recipes!$B$5:$B$104,"C"))</f>
        <v>120</v>
      </c>
      <c r="J5" s="5" t="n">
        <f aca="false">IF($A5="","",SUMIFS(Movements!$D$5:$D$304,Movements!$C$5:$C$304,$A5,Movements!$B$5:$B$304,"Adjust"))</f>
        <v>-20</v>
      </c>
      <c r="K5" s="5" t="n">
        <f aca="false">IF($A5="","",$E5+$F5-$G5-$H5-$I5+$J5)</f>
        <v>580</v>
      </c>
      <c r="L5" s="4" t="s">
        <v>17</v>
      </c>
    </row>
    <row r="6" customFormat="false" ht="15" hidden="false" customHeight="false" outlineLevel="0" collapsed="false">
      <c r="A6" s="4" t="s">
        <v>18</v>
      </c>
      <c r="B6" s="4" t="s">
        <v>19</v>
      </c>
      <c r="C6" s="4" t="s">
        <v>20</v>
      </c>
      <c r="D6" s="4"/>
      <c r="E6" s="4" t="n">
        <v>60</v>
      </c>
      <c r="F6" s="5" t="n">
        <f aca="false">IF($A6="","",SUMIFS(Movements!$D$5:$D$304,Movements!$C$5:$C$304,$A6,Movements!$B$5:$B$304,"Receive"))</f>
        <v>0</v>
      </c>
      <c r="G6" s="5" t="n">
        <f aca="false">IF($A6="","",SUMIFS(Movements!$D$5:$D$304,Movements!$C$5:$C$304,$A6,Movements!$B$5:$B$304,"Sell"))</f>
        <v>0</v>
      </c>
      <c r="H6" s="5" t="n">
        <f aca="false">IF($A6="","",SUMIFS(Recipes!$H$5:$H$104,Recipes!$C$5:$C$104,$A6,Recipes!$B$5:$B$104,"B"))</f>
        <v>22</v>
      </c>
      <c r="I6" s="5" t="n">
        <f aca="false">IF($A6="","",SUMIFS(Recipes!$H$5:$H$104,Recipes!$C$5:$C$104,$A6,Recipes!$B$5:$B$104,"C"))</f>
        <v>0</v>
      </c>
      <c r="J6" s="5" t="n">
        <f aca="false">IF($A6="","",SUMIFS(Movements!$D$5:$D$304,Movements!$C$5:$C$304,$A6,Movements!$B$5:$B$304,"Adjust"))</f>
        <v>0</v>
      </c>
      <c r="K6" s="5" t="n">
        <f aca="false">IF($A6="","",$E6+$F6-$G6-$H6-$I6+$J6)</f>
        <v>38</v>
      </c>
      <c r="L6" s="4"/>
    </row>
    <row r="7" customFormat="false" ht="15" hidden="false" customHeight="false" outlineLevel="0" collapsed="false">
      <c r="A7" s="4" t="s">
        <v>21</v>
      </c>
      <c r="B7" s="4" t="s">
        <v>22</v>
      </c>
      <c r="C7" s="4" t="s">
        <v>16</v>
      </c>
      <c r="D7" s="4" t="n">
        <v>50</v>
      </c>
      <c r="E7" s="4" t="n">
        <v>200</v>
      </c>
      <c r="F7" s="5" t="n">
        <f aca="false">IF($A7="","",SUMIFS(Movements!$D$5:$D$304,Movements!$C$5:$C$304,$A7,Movements!$B$5:$B$304,"Receive"))</f>
        <v>0</v>
      </c>
      <c r="G7" s="5" t="n">
        <f aca="false">IF($A7="","",SUMIFS(Movements!$D$5:$D$304,Movements!$C$5:$C$304,$A7,Movements!$B$5:$B$304,"Sell"))</f>
        <v>0</v>
      </c>
      <c r="H7" s="5" t="n">
        <f aca="false">IF($A7="","",SUMIFS(Recipes!$H$5:$H$104,Recipes!$C$5:$C$104,$A7,Recipes!$B$5:$B$104,"B"))</f>
        <v>22</v>
      </c>
      <c r="I7" s="5" t="n">
        <f aca="false">IF($A7="","",SUMIFS(Recipes!$H$5:$H$104,Recipes!$C$5:$C$104,$A7,Recipes!$B$5:$B$104,"C"))</f>
        <v>0</v>
      </c>
      <c r="J7" s="5" t="n">
        <f aca="false">IF($A7="","",SUMIFS(Movements!$D$5:$D$304,Movements!$C$5:$C$304,$A7,Movements!$B$5:$B$304,"Adjust"))</f>
        <v>0</v>
      </c>
      <c r="K7" s="5" t="n">
        <f aca="false">IF($A7="","",$E7+$F7-$G7-$H7-$I7+$J7)</f>
        <v>178</v>
      </c>
      <c r="L7" s="4"/>
    </row>
    <row r="8" customFormat="false" ht="15" hidden="false" customHeight="false" outlineLevel="0" collapsed="false">
      <c r="A8" s="4" t="s">
        <v>23</v>
      </c>
      <c r="B8" s="4" t="s">
        <v>24</v>
      </c>
      <c r="C8" s="4" t="s">
        <v>20</v>
      </c>
      <c r="D8" s="4"/>
      <c r="E8" s="4" t="n">
        <v>150</v>
      </c>
      <c r="F8" s="5" t="n">
        <f aca="false">IF($A8="","",SUMIFS(Movements!$D$5:$D$304,Movements!$C$5:$C$304,$A8,Movements!$B$5:$B$304,"Receive"))</f>
        <v>0</v>
      </c>
      <c r="G8" s="5" t="n">
        <f aca="false">IF($A8="","",SUMIFS(Movements!$D$5:$D$304,Movements!$C$5:$C$304,$A8,Movements!$B$5:$B$304,"Sell"))</f>
        <v>0</v>
      </c>
      <c r="H8" s="5" t="n">
        <f aca="false">IF($A8="","",SUMIFS(Recipes!$H$5:$H$104,Recipes!$C$5:$C$104,$A8,Recipes!$B$5:$B$104,"B"))</f>
        <v>12</v>
      </c>
      <c r="I8" s="5" t="n">
        <f aca="false">IF($A8="","",SUMIFS(Recipes!$H$5:$H$104,Recipes!$C$5:$C$104,$A8,Recipes!$B$5:$B$104,"C"))</f>
        <v>0</v>
      </c>
      <c r="J8" s="5" t="n">
        <f aca="false">IF($A8="","",SUMIFS(Movements!$D$5:$D$304,Movements!$C$5:$C$304,$A8,Movements!$B$5:$B$304,"Adjust"))</f>
        <v>0</v>
      </c>
      <c r="K8" s="5" t="n">
        <f aca="false">IF($A8="","",$E8+$F8-$G8-$H8-$I8+$J8)</f>
        <v>138</v>
      </c>
      <c r="L8" s="4"/>
    </row>
    <row r="9" customFormat="false" ht="15" hidden="false" customHeight="false" outlineLevel="0" collapsed="false">
      <c r="A9" s="4" t="s">
        <v>25</v>
      </c>
      <c r="B9" s="4" t="s">
        <v>26</v>
      </c>
      <c r="C9" s="4" t="s">
        <v>20</v>
      </c>
      <c r="D9" s="4"/>
      <c r="E9" s="4" t="n">
        <v>80</v>
      </c>
      <c r="F9" s="5" t="n">
        <f aca="false">IF($A9="","",SUMIFS(Movements!$D$5:$D$304,Movements!$C$5:$C$304,$A9,Movements!$B$5:$B$304,"Receive"))</f>
        <v>0</v>
      </c>
      <c r="G9" s="5" t="n">
        <f aca="false">IF($A9="","",SUMIFS(Movements!$D$5:$D$304,Movements!$C$5:$C$304,$A9,Movements!$B$5:$B$304,"Sell"))</f>
        <v>0</v>
      </c>
      <c r="H9" s="5" t="n">
        <f aca="false">IF($A9="","",SUMIFS(Recipes!$H$5:$H$104,Recipes!$C$5:$C$104,$A9,Recipes!$B$5:$B$104,"B"))</f>
        <v>17</v>
      </c>
      <c r="I9" s="5" t="n">
        <f aca="false">IF($A9="","",SUMIFS(Recipes!$H$5:$H$104,Recipes!$C$5:$C$104,$A9,Recipes!$B$5:$B$104,"C"))</f>
        <v>0</v>
      </c>
      <c r="J9" s="5" t="n">
        <f aca="false">IF($A9="","",SUMIFS(Movements!$D$5:$D$304,Movements!$C$5:$C$304,$A9,Movements!$B$5:$B$304,"Adjust"))</f>
        <v>0</v>
      </c>
      <c r="K9" s="5" t="n">
        <f aca="false">IF($A9="","",$E9+$F9-$G9-$H9-$I9+$J9)</f>
        <v>63</v>
      </c>
      <c r="L9" s="4"/>
    </row>
    <row r="10" customFormat="false" ht="15" hidden="false" customHeight="false" outlineLevel="0" collapsed="false">
      <c r="A10" s="4"/>
      <c r="B10" s="4"/>
      <c r="C10" s="4"/>
      <c r="D10" s="4"/>
      <c r="E10" s="4"/>
      <c r="F10" s="5" t="str">
        <f aca="false">IF($A10="","",SUMIFS(Movements!$D$5:$D$304,Movements!$C$5:$C$304,$A10,Movements!$B$5:$B$304,"Receive"))</f>
        <v/>
      </c>
      <c r="G10" s="5" t="str">
        <f aca="false">IF($A10="","",SUMIFS(Movements!$D$5:$D$304,Movements!$C$5:$C$304,$A10,Movements!$B$5:$B$304,"Sell"))</f>
        <v/>
      </c>
      <c r="H10" s="5" t="str">
        <f aca="false">IF($A10="","",SUMIFS(Recipes!$H$5:$H$104,Recipes!$C$5:$C$104,$A10,Recipes!$B$5:$B$104,"B"))</f>
        <v/>
      </c>
      <c r="I10" s="5" t="str">
        <f aca="false">IF($A10="","",SUMIFS(Recipes!$H$5:$H$104,Recipes!$C$5:$C$104,$A10,Recipes!$B$5:$B$104,"C"))</f>
        <v/>
      </c>
      <c r="J10" s="5" t="str">
        <f aca="false">IF($A10="","",SUMIFS(Movements!$D$5:$D$304,Movements!$C$5:$C$304,$A10,Movements!$B$5:$B$304,"Adjust"))</f>
        <v/>
      </c>
      <c r="K10" s="5" t="str">
        <f aca="false">IF($A10="","",$E10+$F10-$G10-$H10-$I10+$J10)</f>
        <v/>
      </c>
      <c r="L10" s="4"/>
    </row>
    <row r="11" customFormat="false" ht="15" hidden="false" customHeight="false" outlineLevel="0" collapsed="false">
      <c r="A11" s="4"/>
      <c r="B11" s="4"/>
      <c r="C11" s="4"/>
      <c r="D11" s="4"/>
      <c r="E11" s="4"/>
      <c r="F11" s="5" t="str">
        <f aca="false">IF($A11="","",SUMIFS(Movements!$D$5:$D$304,Movements!$C$5:$C$304,$A11,Movements!$B$5:$B$304,"Receive"))</f>
        <v/>
      </c>
      <c r="G11" s="5" t="str">
        <f aca="false">IF($A11="","",SUMIFS(Movements!$D$5:$D$304,Movements!$C$5:$C$304,$A11,Movements!$B$5:$B$304,"Sell"))</f>
        <v/>
      </c>
      <c r="H11" s="5" t="str">
        <f aca="false">IF($A11="","",SUMIFS(Recipes!$H$5:$H$104,Recipes!$C$5:$C$104,$A11,Recipes!$B$5:$B$104,"B"))</f>
        <v/>
      </c>
      <c r="I11" s="5" t="str">
        <f aca="false">IF($A11="","",SUMIFS(Recipes!$H$5:$H$104,Recipes!$C$5:$C$104,$A11,Recipes!$B$5:$B$104,"C"))</f>
        <v/>
      </c>
      <c r="J11" s="5" t="str">
        <f aca="false">IF($A11="","",SUMIFS(Movements!$D$5:$D$304,Movements!$C$5:$C$304,$A11,Movements!$B$5:$B$304,"Adjust"))</f>
        <v/>
      </c>
      <c r="K11" s="5" t="str">
        <f aca="false">IF($A11="","",$E11+$F11-$G11-$H11-$I11+$J11)</f>
        <v/>
      </c>
      <c r="L11" s="4"/>
    </row>
    <row r="12" customFormat="false" ht="15" hidden="false" customHeight="false" outlineLevel="0" collapsed="false">
      <c r="A12" s="4"/>
      <c r="B12" s="4"/>
      <c r="C12" s="4"/>
      <c r="D12" s="4"/>
      <c r="E12" s="4"/>
      <c r="F12" s="5" t="str">
        <f aca="false">IF($A12="","",SUMIFS(Movements!$D$5:$D$304,Movements!$C$5:$C$304,$A12,Movements!$B$5:$B$304,"Receive"))</f>
        <v/>
      </c>
      <c r="G12" s="5" t="str">
        <f aca="false">IF($A12="","",SUMIFS(Movements!$D$5:$D$304,Movements!$C$5:$C$304,$A12,Movements!$B$5:$B$304,"Sell"))</f>
        <v/>
      </c>
      <c r="H12" s="5" t="str">
        <f aca="false">IF($A12="","",SUMIFS(Recipes!$H$5:$H$104,Recipes!$C$5:$C$104,$A12,Recipes!$B$5:$B$104,"B"))</f>
        <v/>
      </c>
      <c r="I12" s="5" t="str">
        <f aca="false">IF($A12="","",SUMIFS(Recipes!$H$5:$H$104,Recipes!$C$5:$C$104,$A12,Recipes!$B$5:$B$104,"C"))</f>
        <v/>
      </c>
      <c r="J12" s="5" t="str">
        <f aca="false">IF($A12="","",SUMIFS(Movements!$D$5:$D$304,Movements!$C$5:$C$304,$A12,Movements!$B$5:$B$304,"Adjust"))</f>
        <v/>
      </c>
      <c r="K12" s="5" t="str">
        <f aca="false">IF($A12="","",$E12+$F12-$G12-$H12-$I12+$J12)</f>
        <v/>
      </c>
      <c r="L12" s="4"/>
    </row>
    <row r="13" customFormat="false" ht="15" hidden="false" customHeight="false" outlineLevel="0" collapsed="false">
      <c r="A13" s="4"/>
      <c r="B13" s="4"/>
      <c r="C13" s="4"/>
      <c r="D13" s="4"/>
      <c r="E13" s="4"/>
      <c r="F13" s="5" t="str">
        <f aca="false">IF($A13="","",SUMIFS(Movements!$D$5:$D$304,Movements!$C$5:$C$304,$A13,Movements!$B$5:$B$304,"Receive"))</f>
        <v/>
      </c>
      <c r="G13" s="5" t="str">
        <f aca="false">IF($A13="","",SUMIFS(Movements!$D$5:$D$304,Movements!$C$5:$C$304,$A13,Movements!$B$5:$B$304,"Sell"))</f>
        <v/>
      </c>
      <c r="H13" s="5" t="str">
        <f aca="false">IF($A13="","",SUMIFS(Recipes!$H$5:$H$104,Recipes!$C$5:$C$104,$A13,Recipes!$B$5:$B$104,"B"))</f>
        <v/>
      </c>
      <c r="I13" s="5" t="str">
        <f aca="false">IF($A13="","",SUMIFS(Recipes!$H$5:$H$104,Recipes!$C$5:$C$104,$A13,Recipes!$B$5:$B$104,"C"))</f>
        <v/>
      </c>
      <c r="J13" s="5" t="str">
        <f aca="false">IF($A13="","",SUMIFS(Movements!$D$5:$D$304,Movements!$C$5:$C$304,$A13,Movements!$B$5:$B$304,"Adjust"))</f>
        <v/>
      </c>
      <c r="K13" s="5" t="str">
        <f aca="false">IF($A13="","",$E13+$F13-$G13-$H13-$I13+$J13)</f>
        <v/>
      </c>
      <c r="L13" s="4"/>
    </row>
    <row r="14" customFormat="false" ht="15" hidden="false" customHeight="false" outlineLevel="0" collapsed="false">
      <c r="A14" s="4"/>
      <c r="B14" s="4"/>
      <c r="C14" s="4"/>
      <c r="D14" s="4"/>
      <c r="E14" s="4"/>
      <c r="F14" s="5" t="str">
        <f aca="false">IF($A14="","",SUMIFS(Movements!$D$5:$D$304,Movements!$C$5:$C$304,$A14,Movements!$B$5:$B$304,"Receive"))</f>
        <v/>
      </c>
      <c r="G14" s="5" t="str">
        <f aca="false">IF($A14="","",SUMIFS(Movements!$D$5:$D$304,Movements!$C$5:$C$304,$A14,Movements!$B$5:$B$304,"Sell"))</f>
        <v/>
      </c>
      <c r="H14" s="5" t="str">
        <f aca="false">IF($A14="","",SUMIFS(Recipes!$H$5:$H$104,Recipes!$C$5:$C$104,$A14,Recipes!$B$5:$B$104,"B"))</f>
        <v/>
      </c>
      <c r="I14" s="5" t="str">
        <f aca="false">IF($A14="","",SUMIFS(Recipes!$H$5:$H$104,Recipes!$C$5:$C$104,$A14,Recipes!$B$5:$B$104,"C"))</f>
        <v/>
      </c>
      <c r="J14" s="5" t="str">
        <f aca="false">IF($A14="","",SUMIFS(Movements!$D$5:$D$304,Movements!$C$5:$C$304,$A14,Movements!$B$5:$B$304,"Adjust"))</f>
        <v/>
      </c>
      <c r="K14" s="5" t="str">
        <f aca="false">IF($A14="","",$E14+$F14-$G14-$H14-$I14+$J14)</f>
        <v/>
      </c>
      <c r="L14" s="4"/>
    </row>
    <row r="15" customFormat="false" ht="15" hidden="false" customHeight="false" outlineLevel="0" collapsed="false">
      <c r="A15" s="4"/>
      <c r="B15" s="4"/>
      <c r="C15" s="4"/>
      <c r="D15" s="4"/>
      <c r="E15" s="4"/>
      <c r="F15" s="5" t="str">
        <f aca="false">IF($A15="","",SUMIFS(Movements!$D$5:$D$304,Movements!$C$5:$C$304,$A15,Movements!$B$5:$B$304,"Receive"))</f>
        <v/>
      </c>
      <c r="G15" s="5" t="str">
        <f aca="false">IF($A15="","",SUMIFS(Movements!$D$5:$D$304,Movements!$C$5:$C$304,$A15,Movements!$B$5:$B$304,"Sell"))</f>
        <v/>
      </c>
      <c r="H15" s="5" t="str">
        <f aca="false">IF($A15="","",SUMIFS(Recipes!$H$5:$H$104,Recipes!$C$5:$C$104,$A15,Recipes!$B$5:$B$104,"B"))</f>
        <v/>
      </c>
      <c r="I15" s="5" t="str">
        <f aca="false">IF($A15="","",SUMIFS(Recipes!$H$5:$H$104,Recipes!$C$5:$C$104,$A15,Recipes!$B$5:$B$104,"C"))</f>
        <v/>
      </c>
      <c r="J15" s="5" t="str">
        <f aca="false">IF($A15="","",SUMIFS(Movements!$D$5:$D$304,Movements!$C$5:$C$304,$A15,Movements!$B$5:$B$304,"Adjust"))</f>
        <v/>
      </c>
      <c r="K15" s="5" t="str">
        <f aca="false">IF($A15="","",$E15+$F15-$G15-$H15-$I15+$J15)</f>
        <v/>
      </c>
      <c r="L15" s="4"/>
    </row>
    <row r="16" customFormat="false" ht="15" hidden="false" customHeight="false" outlineLevel="0" collapsed="false">
      <c r="A16" s="4"/>
      <c r="B16" s="4"/>
      <c r="C16" s="4"/>
      <c r="D16" s="4"/>
      <c r="E16" s="4"/>
      <c r="F16" s="5" t="str">
        <f aca="false">IF($A16="","",SUMIFS(Movements!$D$5:$D$304,Movements!$C$5:$C$304,$A16,Movements!$B$5:$B$304,"Receive"))</f>
        <v/>
      </c>
      <c r="G16" s="5" t="str">
        <f aca="false">IF($A16="","",SUMIFS(Movements!$D$5:$D$304,Movements!$C$5:$C$304,$A16,Movements!$B$5:$B$304,"Sell"))</f>
        <v/>
      </c>
      <c r="H16" s="5" t="str">
        <f aca="false">IF($A16="","",SUMIFS(Recipes!$H$5:$H$104,Recipes!$C$5:$C$104,$A16,Recipes!$B$5:$B$104,"B"))</f>
        <v/>
      </c>
      <c r="I16" s="5" t="str">
        <f aca="false">IF($A16="","",SUMIFS(Recipes!$H$5:$H$104,Recipes!$C$5:$C$104,$A16,Recipes!$B$5:$B$104,"C"))</f>
        <v/>
      </c>
      <c r="J16" s="5" t="str">
        <f aca="false">IF($A16="","",SUMIFS(Movements!$D$5:$D$304,Movements!$C$5:$C$304,$A16,Movements!$B$5:$B$304,"Adjust"))</f>
        <v/>
      </c>
      <c r="K16" s="5" t="str">
        <f aca="false">IF($A16="","",$E16+$F16-$G16-$H16-$I16+$J16)</f>
        <v/>
      </c>
      <c r="L16" s="4"/>
    </row>
    <row r="17" customFormat="false" ht="15" hidden="false" customHeight="false" outlineLevel="0" collapsed="false">
      <c r="A17" s="4"/>
      <c r="B17" s="4"/>
      <c r="C17" s="4"/>
      <c r="D17" s="4"/>
      <c r="E17" s="4"/>
      <c r="F17" s="5" t="str">
        <f aca="false">IF($A17="","",SUMIFS(Movements!$D$5:$D$304,Movements!$C$5:$C$304,$A17,Movements!$B$5:$B$304,"Receive"))</f>
        <v/>
      </c>
      <c r="G17" s="5" t="str">
        <f aca="false">IF($A17="","",SUMIFS(Movements!$D$5:$D$304,Movements!$C$5:$C$304,$A17,Movements!$B$5:$B$304,"Sell"))</f>
        <v/>
      </c>
      <c r="H17" s="5" t="str">
        <f aca="false">IF($A17="","",SUMIFS(Recipes!$H$5:$H$104,Recipes!$C$5:$C$104,$A17,Recipes!$B$5:$B$104,"B"))</f>
        <v/>
      </c>
      <c r="I17" s="5" t="str">
        <f aca="false">IF($A17="","",SUMIFS(Recipes!$H$5:$H$104,Recipes!$C$5:$C$104,$A17,Recipes!$B$5:$B$104,"C"))</f>
        <v/>
      </c>
      <c r="J17" s="5" t="str">
        <f aca="false">IF($A17="","",SUMIFS(Movements!$D$5:$D$304,Movements!$C$5:$C$304,$A17,Movements!$B$5:$B$304,"Adjust"))</f>
        <v/>
      </c>
      <c r="K17" s="5" t="str">
        <f aca="false">IF($A17="","",$E17+$F17-$G17-$H17-$I17+$J17)</f>
        <v/>
      </c>
      <c r="L17" s="4"/>
    </row>
    <row r="18" customFormat="false" ht="15" hidden="false" customHeight="false" outlineLevel="0" collapsed="false">
      <c r="A18" s="4"/>
      <c r="B18" s="4"/>
      <c r="C18" s="4"/>
      <c r="D18" s="4"/>
      <c r="E18" s="4"/>
      <c r="F18" s="5" t="str">
        <f aca="false">IF($A18="","",SUMIFS(Movements!$D$5:$D$304,Movements!$C$5:$C$304,$A18,Movements!$B$5:$B$304,"Receive"))</f>
        <v/>
      </c>
      <c r="G18" s="5" t="str">
        <f aca="false">IF($A18="","",SUMIFS(Movements!$D$5:$D$304,Movements!$C$5:$C$304,$A18,Movements!$B$5:$B$304,"Sell"))</f>
        <v/>
      </c>
      <c r="H18" s="5" t="str">
        <f aca="false">IF($A18="","",SUMIFS(Recipes!$H$5:$H$104,Recipes!$C$5:$C$104,$A18,Recipes!$B$5:$B$104,"B"))</f>
        <v/>
      </c>
      <c r="I18" s="5" t="str">
        <f aca="false">IF($A18="","",SUMIFS(Recipes!$H$5:$H$104,Recipes!$C$5:$C$104,$A18,Recipes!$B$5:$B$104,"C"))</f>
        <v/>
      </c>
      <c r="J18" s="5" t="str">
        <f aca="false">IF($A18="","",SUMIFS(Movements!$D$5:$D$304,Movements!$C$5:$C$304,$A18,Movements!$B$5:$B$304,"Adjust"))</f>
        <v/>
      </c>
      <c r="K18" s="5" t="str">
        <f aca="false">IF($A18="","",$E18+$F18-$G18-$H18-$I18+$J18)</f>
        <v/>
      </c>
      <c r="L18" s="4"/>
    </row>
    <row r="19" customFormat="false" ht="15" hidden="false" customHeight="false" outlineLevel="0" collapsed="false">
      <c r="A19" s="4"/>
      <c r="B19" s="4"/>
      <c r="C19" s="4"/>
      <c r="D19" s="4"/>
      <c r="E19" s="4"/>
      <c r="F19" s="5" t="str">
        <f aca="false">IF($A19="","",SUMIFS(Movements!$D$5:$D$304,Movements!$C$5:$C$304,$A19,Movements!$B$5:$B$304,"Receive"))</f>
        <v/>
      </c>
      <c r="G19" s="5" t="str">
        <f aca="false">IF($A19="","",SUMIFS(Movements!$D$5:$D$304,Movements!$C$5:$C$304,$A19,Movements!$B$5:$B$304,"Sell"))</f>
        <v/>
      </c>
      <c r="H19" s="5" t="str">
        <f aca="false">IF($A19="","",SUMIFS(Recipes!$H$5:$H$104,Recipes!$C$5:$C$104,$A19,Recipes!$B$5:$B$104,"B"))</f>
        <v/>
      </c>
      <c r="I19" s="5" t="str">
        <f aca="false">IF($A19="","",SUMIFS(Recipes!$H$5:$H$104,Recipes!$C$5:$C$104,$A19,Recipes!$B$5:$B$104,"C"))</f>
        <v/>
      </c>
      <c r="J19" s="5" t="str">
        <f aca="false">IF($A19="","",SUMIFS(Movements!$D$5:$D$304,Movements!$C$5:$C$304,$A19,Movements!$B$5:$B$304,"Adjust"))</f>
        <v/>
      </c>
      <c r="K19" s="5" t="str">
        <f aca="false">IF($A19="","",$E19+$F19-$G19-$H19-$I19+$J19)</f>
        <v/>
      </c>
      <c r="L19" s="4"/>
    </row>
    <row r="20" customFormat="false" ht="15" hidden="false" customHeight="false" outlineLevel="0" collapsed="false">
      <c r="A20" s="4"/>
      <c r="B20" s="4"/>
      <c r="C20" s="4"/>
      <c r="D20" s="4"/>
      <c r="E20" s="4"/>
      <c r="F20" s="5" t="str">
        <f aca="false">IF($A20="","",SUMIFS(Movements!$D$5:$D$304,Movements!$C$5:$C$304,$A20,Movements!$B$5:$B$304,"Receive"))</f>
        <v/>
      </c>
      <c r="G20" s="5" t="str">
        <f aca="false">IF($A20="","",SUMIFS(Movements!$D$5:$D$304,Movements!$C$5:$C$304,$A20,Movements!$B$5:$B$304,"Sell"))</f>
        <v/>
      </c>
      <c r="H20" s="5" t="str">
        <f aca="false">IF($A20="","",SUMIFS(Recipes!$H$5:$H$104,Recipes!$C$5:$C$104,$A20,Recipes!$B$5:$B$104,"B"))</f>
        <v/>
      </c>
      <c r="I20" s="5" t="str">
        <f aca="false">IF($A20="","",SUMIFS(Recipes!$H$5:$H$104,Recipes!$C$5:$C$104,$A20,Recipes!$B$5:$B$104,"C"))</f>
        <v/>
      </c>
      <c r="J20" s="5" t="str">
        <f aca="false">IF($A20="","",SUMIFS(Movements!$D$5:$D$304,Movements!$C$5:$C$304,$A20,Movements!$B$5:$B$304,"Adjust"))</f>
        <v/>
      </c>
      <c r="K20" s="5" t="str">
        <f aca="false">IF($A20="","",$E20+$F20-$G20-$H20-$I20+$J20)</f>
        <v/>
      </c>
      <c r="L20" s="4"/>
    </row>
    <row r="21" customFormat="false" ht="15" hidden="false" customHeight="false" outlineLevel="0" collapsed="false">
      <c r="A21" s="4"/>
      <c r="B21" s="4"/>
      <c r="C21" s="4"/>
      <c r="D21" s="4"/>
      <c r="E21" s="4"/>
      <c r="F21" s="5" t="str">
        <f aca="false">IF($A21="","",SUMIFS(Movements!$D$5:$D$304,Movements!$C$5:$C$304,$A21,Movements!$B$5:$B$304,"Receive"))</f>
        <v/>
      </c>
      <c r="G21" s="5" t="str">
        <f aca="false">IF($A21="","",SUMIFS(Movements!$D$5:$D$304,Movements!$C$5:$C$304,$A21,Movements!$B$5:$B$304,"Sell"))</f>
        <v/>
      </c>
      <c r="H21" s="5" t="str">
        <f aca="false">IF($A21="","",SUMIFS(Recipes!$H$5:$H$104,Recipes!$C$5:$C$104,$A21,Recipes!$B$5:$B$104,"B"))</f>
        <v/>
      </c>
      <c r="I21" s="5" t="str">
        <f aca="false">IF($A21="","",SUMIFS(Recipes!$H$5:$H$104,Recipes!$C$5:$C$104,$A21,Recipes!$B$5:$B$104,"C"))</f>
        <v/>
      </c>
      <c r="J21" s="5" t="str">
        <f aca="false">IF($A21="","",SUMIFS(Movements!$D$5:$D$304,Movements!$C$5:$C$304,$A21,Movements!$B$5:$B$304,"Adjust"))</f>
        <v/>
      </c>
      <c r="K21" s="5" t="str">
        <f aca="false">IF($A21="","",$E21+$F21-$G21-$H21-$I21+$J21)</f>
        <v/>
      </c>
      <c r="L21" s="4"/>
    </row>
    <row r="22" customFormat="false" ht="15" hidden="false" customHeight="false" outlineLevel="0" collapsed="false">
      <c r="A22" s="4"/>
      <c r="B22" s="4"/>
      <c r="C22" s="4"/>
      <c r="D22" s="4"/>
      <c r="E22" s="4"/>
      <c r="F22" s="5" t="str">
        <f aca="false">IF($A22="","",SUMIFS(Movements!$D$5:$D$304,Movements!$C$5:$C$304,$A22,Movements!$B$5:$B$304,"Receive"))</f>
        <v/>
      </c>
      <c r="G22" s="5" t="str">
        <f aca="false">IF($A22="","",SUMIFS(Movements!$D$5:$D$304,Movements!$C$5:$C$304,$A22,Movements!$B$5:$B$304,"Sell"))</f>
        <v/>
      </c>
      <c r="H22" s="5" t="str">
        <f aca="false">IF($A22="","",SUMIFS(Recipes!$H$5:$H$104,Recipes!$C$5:$C$104,$A22,Recipes!$B$5:$B$104,"B"))</f>
        <v/>
      </c>
      <c r="I22" s="5" t="str">
        <f aca="false">IF($A22="","",SUMIFS(Recipes!$H$5:$H$104,Recipes!$C$5:$C$104,$A22,Recipes!$B$5:$B$104,"C"))</f>
        <v/>
      </c>
      <c r="J22" s="5" t="str">
        <f aca="false">IF($A22="","",SUMIFS(Movements!$D$5:$D$304,Movements!$C$5:$C$304,$A22,Movements!$B$5:$B$304,"Adjust"))</f>
        <v/>
      </c>
      <c r="K22" s="5" t="str">
        <f aca="false">IF($A22="","",$E22+$F22-$G22-$H22-$I22+$J22)</f>
        <v/>
      </c>
      <c r="L22" s="4"/>
    </row>
    <row r="23" customFormat="false" ht="15" hidden="false" customHeight="false" outlineLevel="0" collapsed="false">
      <c r="A23" s="4"/>
      <c r="B23" s="4"/>
      <c r="C23" s="4"/>
      <c r="D23" s="4"/>
      <c r="E23" s="4"/>
      <c r="F23" s="5" t="str">
        <f aca="false">IF($A23="","",SUMIFS(Movements!$D$5:$D$304,Movements!$C$5:$C$304,$A23,Movements!$B$5:$B$304,"Receive"))</f>
        <v/>
      </c>
      <c r="G23" s="5" t="str">
        <f aca="false">IF($A23="","",SUMIFS(Movements!$D$5:$D$304,Movements!$C$5:$C$304,$A23,Movements!$B$5:$B$304,"Sell"))</f>
        <v/>
      </c>
      <c r="H23" s="5" t="str">
        <f aca="false">IF($A23="","",SUMIFS(Recipes!$H$5:$H$104,Recipes!$C$5:$C$104,$A23,Recipes!$B$5:$B$104,"B"))</f>
        <v/>
      </c>
      <c r="I23" s="5" t="str">
        <f aca="false">IF($A23="","",SUMIFS(Recipes!$H$5:$H$104,Recipes!$C$5:$C$104,$A23,Recipes!$B$5:$B$104,"C"))</f>
        <v/>
      </c>
      <c r="J23" s="5" t="str">
        <f aca="false">IF($A23="","",SUMIFS(Movements!$D$5:$D$304,Movements!$C$5:$C$304,$A23,Movements!$B$5:$B$304,"Adjust"))</f>
        <v/>
      </c>
      <c r="K23" s="5" t="str">
        <f aca="false">IF($A23="","",$E23+$F23-$G23-$H23-$I23+$J23)</f>
        <v/>
      </c>
      <c r="L23" s="4"/>
    </row>
    <row r="24" customFormat="false" ht="15" hidden="false" customHeight="false" outlineLevel="0" collapsed="false">
      <c r="A24" s="4"/>
      <c r="B24" s="4"/>
      <c r="C24" s="4"/>
      <c r="D24" s="4"/>
      <c r="E24" s="4"/>
      <c r="F24" s="5" t="str">
        <f aca="false">IF($A24="","",SUMIFS(Movements!$D$5:$D$304,Movements!$C$5:$C$304,$A24,Movements!$B$5:$B$304,"Receive"))</f>
        <v/>
      </c>
      <c r="G24" s="5" t="str">
        <f aca="false">IF($A24="","",SUMIFS(Movements!$D$5:$D$304,Movements!$C$5:$C$304,$A24,Movements!$B$5:$B$304,"Sell"))</f>
        <v/>
      </c>
      <c r="H24" s="5" t="str">
        <f aca="false">IF($A24="","",SUMIFS(Recipes!$H$5:$H$104,Recipes!$C$5:$C$104,$A24,Recipes!$B$5:$B$104,"B"))</f>
        <v/>
      </c>
      <c r="I24" s="5" t="str">
        <f aca="false">IF($A24="","",SUMIFS(Recipes!$H$5:$H$104,Recipes!$C$5:$C$104,$A24,Recipes!$B$5:$B$104,"C"))</f>
        <v/>
      </c>
      <c r="J24" s="5" t="str">
        <f aca="false">IF($A24="","",SUMIFS(Movements!$D$5:$D$304,Movements!$C$5:$C$304,$A24,Movements!$B$5:$B$304,"Adjust"))</f>
        <v/>
      </c>
      <c r="K24" s="5" t="str">
        <f aca="false">IF($A24="","",$E24+$F24-$G24-$H24-$I24+$J24)</f>
        <v/>
      </c>
      <c r="L24" s="4"/>
    </row>
    <row r="25" customFormat="false" ht="15" hidden="false" customHeight="false" outlineLevel="0" collapsed="false">
      <c r="A25" s="4"/>
      <c r="B25" s="4"/>
      <c r="C25" s="4"/>
      <c r="D25" s="4"/>
      <c r="E25" s="4"/>
      <c r="F25" s="5" t="str">
        <f aca="false">IF($A25="","",SUMIFS(Movements!$D$5:$D$304,Movements!$C$5:$C$304,$A25,Movements!$B$5:$B$304,"Receive"))</f>
        <v/>
      </c>
      <c r="G25" s="5" t="str">
        <f aca="false">IF($A25="","",SUMIFS(Movements!$D$5:$D$304,Movements!$C$5:$C$304,$A25,Movements!$B$5:$B$304,"Sell"))</f>
        <v/>
      </c>
      <c r="H25" s="5" t="str">
        <f aca="false">IF($A25="","",SUMIFS(Recipes!$H$5:$H$104,Recipes!$C$5:$C$104,$A25,Recipes!$B$5:$B$104,"B"))</f>
        <v/>
      </c>
      <c r="I25" s="5" t="str">
        <f aca="false">IF($A25="","",SUMIFS(Recipes!$H$5:$H$104,Recipes!$C$5:$C$104,$A25,Recipes!$B$5:$B$104,"C"))</f>
        <v/>
      </c>
      <c r="J25" s="5" t="str">
        <f aca="false">IF($A25="","",SUMIFS(Movements!$D$5:$D$304,Movements!$C$5:$C$304,$A25,Movements!$B$5:$B$304,"Adjust"))</f>
        <v/>
      </c>
      <c r="K25" s="5" t="str">
        <f aca="false">IF($A25="","",$E25+$F25-$G25-$H25-$I25+$J25)</f>
        <v/>
      </c>
      <c r="L25" s="4"/>
    </row>
    <row r="26" customFormat="false" ht="15" hidden="false" customHeight="false" outlineLevel="0" collapsed="false">
      <c r="A26" s="4"/>
      <c r="B26" s="4"/>
      <c r="C26" s="4"/>
      <c r="D26" s="4"/>
      <c r="E26" s="4"/>
      <c r="F26" s="5" t="str">
        <f aca="false">IF($A26="","",SUMIFS(Movements!$D$5:$D$304,Movements!$C$5:$C$304,$A26,Movements!$B$5:$B$304,"Receive"))</f>
        <v/>
      </c>
      <c r="G26" s="5" t="str">
        <f aca="false">IF($A26="","",SUMIFS(Movements!$D$5:$D$304,Movements!$C$5:$C$304,$A26,Movements!$B$5:$B$304,"Sell"))</f>
        <v/>
      </c>
      <c r="H26" s="5" t="str">
        <f aca="false">IF($A26="","",SUMIFS(Recipes!$H$5:$H$104,Recipes!$C$5:$C$104,$A26,Recipes!$B$5:$B$104,"B"))</f>
        <v/>
      </c>
      <c r="I26" s="5" t="str">
        <f aca="false">IF($A26="","",SUMIFS(Recipes!$H$5:$H$104,Recipes!$C$5:$C$104,$A26,Recipes!$B$5:$B$104,"C"))</f>
        <v/>
      </c>
      <c r="J26" s="5" t="str">
        <f aca="false">IF($A26="","",SUMIFS(Movements!$D$5:$D$304,Movements!$C$5:$C$304,$A26,Movements!$B$5:$B$304,"Adjust"))</f>
        <v/>
      </c>
      <c r="K26" s="5" t="str">
        <f aca="false">IF($A26="","",$E26+$F26-$G26-$H26-$I26+$J26)</f>
        <v/>
      </c>
      <c r="L26" s="4"/>
    </row>
    <row r="27" customFormat="false" ht="15" hidden="false" customHeight="false" outlineLevel="0" collapsed="false">
      <c r="A27" s="4"/>
      <c r="B27" s="4"/>
      <c r="C27" s="4"/>
      <c r="D27" s="4"/>
      <c r="E27" s="4"/>
      <c r="F27" s="5" t="str">
        <f aca="false">IF($A27="","",SUMIFS(Movements!$D$5:$D$304,Movements!$C$5:$C$304,$A27,Movements!$B$5:$B$304,"Receive"))</f>
        <v/>
      </c>
      <c r="G27" s="5" t="str">
        <f aca="false">IF($A27="","",SUMIFS(Movements!$D$5:$D$304,Movements!$C$5:$C$304,$A27,Movements!$B$5:$B$304,"Sell"))</f>
        <v/>
      </c>
      <c r="H27" s="5" t="str">
        <f aca="false">IF($A27="","",SUMIFS(Recipes!$H$5:$H$104,Recipes!$C$5:$C$104,$A27,Recipes!$B$5:$B$104,"B"))</f>
        <v/>
      </c>
      <c r="I27" s="5" t="str">
        <f aca="false">IF($A27="","",SUMIFS(Recipes!$H$5:$H$104,Recipes!$C$5:$C$104,$A27,Recipes!$B$5:$B$104,"C"))</f>
        <v/>
      </c>
      <c r="J27" s="5" t="str">
        <f aca="false">IF($A27="","",SUMIFS(Movements!$D$5:$D$304,Movements!$C$5:$C$304,$A27,Movements!$B$5:$B$304,"Adjust"))</f>
        <v/>
      </c>
      <c r="K27" s="5" t="str">
        <f aca="false">IF($A27="","",$E27+$F27-$G27-$H27-$I27+$J27)</f>
        <v/>
      </c>
      <c r="L27" s="4"/>
    </row>
    <row r="28" customFormat="false" ht="15" hidden="false" customHeight="false" outlineLevel="0" collapsed="false">
      <c r="A28" s="4"/>
      <c r="B28" s="4"/>
      <c r="C28" s="4"/>
      <c r="D28" s="4"/>
      <c r="E28" s="4"/>
      <c r="F28" s="5" t="str">
        <f aca="false">IF($A28="","",SUMIFS(Movements!$D$5:$D$304,Movements!$C$5:$C$304,$A28,Movements!$B$5:$B$304,"Receive"))</f>
        <v/>
      </c>
      <c r="G28" s="5" t="str">
        <f aca="false">IF($A28="","",SUMIFS(Movements!$D$5:$D$304,Movements!$C$5:$C$304,$A28,Movements!$B$5:$B$304,"Sell"))</f>
        <v/>
      </c>
      <c r="H28" s="5" t="str">
        <f aca="false">IF($A28="","",SUMIFS(Recipes!$H$5:$H$104,Recipes!$C$5:$C$104,$A28,Recipes!$B$5:$B$104,"B"))</f>
        <v/>
      </c>
      <c r="I28" s="5" t="str">
        <f aca="false">IF($A28="","",SUMIFS(Recipes!$H$5:$H$104,Recipes!$C$5:$C$104,$A28,Recipes!$B$5:$B$104,"C"))</f>
        <v/>
      </c>
      <c r="J28" s="5" t="str">
        <f aca="false">IF($A28="","",SUMIFS(Movements!$D$5:$D$304,Movements!$C$5:$C$304,$A28,Movements!$B$5:$B$304,"Adjust"))</f>
        <v/>
      </c>
      <c r="K28" s="5" t="str">
        <f aca="false">IF($A28="","",$E28+$F28-$G28-$H28-$I28+$J28)</f>
        <v/>
      </c>
      <c r="L28" s="4"/>
    </row>
    <row r="29" customFormat="false" ht="15" hidden="false" customHeight="false" outlineLevel="0" collapsed="false">
      <c r="A29" s="4"/>
      <c r="B29" s="4"/>
      <c r="C29" s="4"/>
      <c r="D29" s="4"/>
      <c r="E29" s="4"/>
      <c r="F29" s="5" t="str">
        <f aca="false">IF($A29="","",SUMIFS(Movements!$D$5:$D$304,Movements!$C$5:$C$304,$A29,Movements!$B$5:$B$304,"Receive"))</f>
        <v/>
      </c>
      <c r="G29" s="5" t="str">
        <f aca="false">IF($A29="","",SUMIFS(Movements!$D$5:$D$304,Movements!$C$5:$C$304,$A29,Movements!$B$5:$B$304,"Sell"))</f>
        <v/>
      </c>
      <c r="H29" s="5" t="str">
        <f aca="false">IF($A29="","",SUMIFS(Recipes!$H$5:$H$104,Recipes!$C$5:$C$104,$A29,Recipes!$B$5:$B$104,"B"))</f>
        <v/>
      </c>
      <c r="I29" s="5" t="str">
        <f aca="false">IF($A29="","",SUMIFS(Recipes!$H$5:$H$104,Recipes!$C$5:$C$104,$A29,Recipes!$B$5:$B$104,"C"))</f>
        <v/>
      </c>
      <c r="J29" s="5" t="str">
        <f aca="false">IF($A29="","",SUMIFS(Movements!$D$5:$D$304,Movements!$C$5:$C$304,$A29,Movements!$B$5:$B$304,"Adjust"))</f>
        <v/>
      </c>
      <c r="K29" s="5" t="str">
        <f aca="false">IF($A29="","",$E29+$F29-$G29-$H29-$I29+$J29)</f>
        <v/>
      </c>
      <c r="L29" s="4"/>
    </row>
    <row r="30" customFormat="false" ht="15" hidden="false" customHeight="false" outlineLevel="0" collapsed="false">
      <c r="A30" s="4"/>
      <c r="B30" s="4"/>
      <c r="C30" s="4"/>
      <c r="D30" s="4"/>
      <c r="E30" s="4"/>
      <c r="F30" s="5" t="str">
        <f aca="false">IF($A30="","",SUMIFS(Movements!$D$5:$D$304,Movements!$C$5:$C$304,$A30,Movements!$B$5:$B$304,"Receive"))</f>
        <v/>
      </c>
      <c r="G30" s="5" t="str">
        <f aca="false">IF($A30="","",SUMIFS(Movements!$D$5:$D$304,Movements!$C$5:$C$304,$A30,Movements!$B$5:$B$304,"Sell"))</f>
        <v/>
      </c>
      <c r="H30" s="5" t="str">
        <f aca="false">IF($A30="","",SUMIFS(Recipes!$H$5:$H$104,Recipes!$C$5:$C$104,$A30,Recipes!$B$5:$B$104,"B"))</f>
        <v/>
      </c>
      <c r="I30" s="5" t="str">
        <f aca="false">IF($A30="","",SUMIFS(Recipes!$H$5:$H$104,Recipes!$C$5:$C$104,$A30,Recipes!$B$5:$B$104,"C"))</f>
        <v/>
      </c>
      <c r="J30" s="5" t="str">
        <f aca="false">IF($A30="","",SUMIFS(Movements!$D$5:$D$304,Movements!$C$5:$C$304,$A30,Movements!$B$5:$B$304,"Adjust"))</f>
        <v/>
      </c>
      <c r="K30" s="5" t="str">
        <f aca="false">IF($A30="","",$E30+$F30-$G30-$H30-$I30+$J30)</f>
        <v/>
      </c>
      <c r="L30" s="4"/>
    </row>
    <row r="31" customFormat="false" ht="15" hidden="false" customHeight="false" outlineLevel="0" collapsed="false">
      <c r="A31" s="4"/>
      <c r="B31" s="4"/>
      <c r="C31" s="4"/>
      <c r="D31" s="4"/>
      <c r="E31" s="4"/>
      <c r="F31" s="5" t="str">
        <f aca="false">IF($A31="","",SUMIFS(Movements!$D$5:$D$304,Movements!$C$5:$C$304,$A31,Movements!$B$5:$B$304,"Receive"))</f>
        <v/>
      </c>
      <c r="G31" s="5" t="str">
        <f aca="false">IF($A31="","",SUMIFS(Movements!$D$5:$D$304,Movements!$C$5:$C$304,$A31,Movements!$B$5:$B$304,"Sell"))</f>
        <v/>
      </c>
      <c r="H31" s="5" t="str">
        <f aca="false">IF($A31="","",SUMIFS(Recipes!$H$5:$H$104,Recipes!$C$5:$C$104,$A31,Recipes!$B$5:$B$104,"B"))</f>
        <v/>
      </c>
      <c r="I31" s="5" t="str">
        <f aca="false">IF($A31="","",SUMIFS(Recipes!$H$5:$H$104,Recipes!$C$5:$C$104,$A31,Recipes!$B$5:$B$104,"C"))</f>
        <v/>
      </c>
      <c r="J31" s="5" t="str">
        <f aca="false">IF($A31="","",SUMIFS(Movements!$D$5:$D$304,Movements!$C$5:$C$304,$A31,Movements!$B$5:$B$304,"Adjust"))</f>
        <v/>
      </c>
      <c r="K31" s="5" t="str">
        <f aca="false">IF($A31="","",$E31+$F31-$G31-$H31-$I31+$J31)</f>
        <v/>
      </c>
      <c r="L31" s="4"/>
    </row>
    <row r="32" customFormat="false" ht="15" hidden="false" customHeight="false" outlineLevel="0" collapsed="false">
      <c r="A32" s="4"/>
      <c r="B32" s="4"/>
      <c r="C32" s="4"/>
      <c r="D32" s="4"/>
      <c r="E32" s="4"/>
      <c r="F32" s="5" t="str">
        <f aca="false">IF($A32="","",SUMIFS(Movements!$D$5:$D$304,Movements!$C$5:$C$304,$A32,Movements!$B$5:$B$304,"Receive"))</f>
        <v/>
      </c>
      <c r="G32" s="5" t="str">
        <f aca="false">IF($A32="","",SUMIFS(Movements!$D$5:$D$304,Movements!$C$5:$C$304,$A32,Movements!$B$5:$B$304,"Sell"))</f>
        <v/>
      </c>
      <c r="H32" s="5" t="str">
        <f aca="false">IF($A32="","",SUMIFS(Recipes!$H$5:$H$104,Recipes!$C$5:$C$104,$A32,Recipes!$B$5:$B$104,"B"))</f>
        <v/>
      </c>
      <c r="I32" s="5" t="str">
        <f aca="false">IF($A32="","",SUMIFS(Recipes!$H$5:$H$104,Recipes!$C$5:$C$104,$A32,Recipes!$B$5:$B$104,"C"))</f>
        <v/>
      </c>
      <c r="J32" s="5" t="str">
        <f aca="false">IF($A32="","",SUMIFS(Movements!$D$5:$D$304,Movements!$C$5:$C$304,$A32,Movements!$B$5:$B$304,"Adjust"))</f>
        <v/>
      </c>
      <c r="K32" s="5" t="str">
        <f aca="false">IF($A32="","",$E32+$F32-$G32-$H32-$I32+$J32)</f>
        <v/>
      </c>
      <c r="L32" s="4"/>
    </row>
    <row r="33" customFormat="false" ht="15" hidden="false" customHeight="false" outlineLevel="0" collapsed="false">
      <c r="A33" s="4"/>
      <c r="B33" s="4"/>
      <c r="C33" s="4"/>
      <c r="D33" s="4"/>
      <c r="E33" s="4"/>
      <c r="F33" s="5" t="str">
        <f aca="false">IF($A33="","",SUMIFS(Movements!$D$5:$D$304,Movements!$C$5:$C$304,$A33,Movements!$B$5:$B$304,"Receive"))</f>
        <v/>
      </c>
      <c r="G33" s="5" t="str">
        <f aca="false">IF($A33="","",SUMIFS(Movements!$D$5:$D$304,Movements!$C$5:$C$304,$A33,Movements!$B$5:$B$304,"Sell"))</f>
        <v/>
      </c>
      <c r="H33" s="5" t="str">
        <f aca="false">IF($A33="","",SUMIFS(Recipes!$H$5:$H$104,Recipes!$C$5:$C$104,$A33,Recipes!$B$5:$B$104,"B"))</f>
        <v/>
      </c>
      <c r="I33" s="5" t="str">
        <f aca="false">IF($A33="","",SUMIFS(Recipes!$H$5:$H$104,Recipes!$C$5:$C$104,$A33,Recipes!$B$5:$B$104,"C"))</f>
        <v/>
      </c>
      <c r="J33" s="5" t="str">
        <f aca="false">IF($A33="","",SUMIFS(Movements!$D$5:$D$304,Movements!$C$5:$C$304,$A33,Movements!$B$5:$B$304,"Adjust"))</f>
        <v/>
      </c>
      <c r="K33" s="5" t="str">
        <f aca="false">IF($A33="","",$E33+$F33-$G33-$H33-$I33+$J33)</f>
        <v/>
      </c>
      <c r="L33" s="4"/>
    </row>
    <row r="34" customFormat="false" ht="15" hidden="false" customHeight="false" outlineLevel="0" collapsed="false">
      <c r="A34" s="4"/>
      <c r="B34" s="4"/>
      <c r="C34" s="4"/>
      <c r="D34" s="4"/>
      <c r="E34" s="4"/>
      <c r="F34" s="5" t="str">
        <f aca="false">IF($A34="","",SUMIFS(Movements!$D$5:$D$304,Movements!$C$5:$C$304,$A34,Movements!$B$5:$B$304,"Receive"))</f>
        <v/>
      </c>
      <c r="G34" s="5" t="str">
        <f aca="false">IF($A34="","",SUMIFS(Movements!$D$5:$D$304,Movements!$C$5:$C$304,$A34,Movements!$B$5:$B$304,"Sell"))</f>
        <v/>
      </c>
      <c r="H34" s="5" t="str">
        <f aca="false">IF($A34="","",SUMIFS(Recipes!$H$5:$H$104,Recipes!$C$5:$C$104,$A34,Recipes!$B$5:$B$104,"B"))</f>
        <v/>
      </c>
      <c r="I34" s="5" t="str">
        <f aca="false">IF($A34="","",SUMIFS(Recipes!$H$5:$H$104,Recipes!$C$5:$C$104,$A34,Recipes!$B$5:$B$104,"C"))</f>
        <v/>
      </c>
      <c r="J34" s="5" t="str">
        <f aca="false">IF($A34="","",SUMIFS(Movements!$D$5:$D$304,Movements!$C$5:$C$304,$A34,Movements!$B$5:$B$304,"Adjust"))</f>
        <v/>
      </c>
      <c r="K34" s="5" t="str">
        <f aca="false">IF($A34="","",$E34+$F34-$G34-$H34-$I34+$J34)</f>
        <v/>
      </c>
      <c r="L34" s="4"/>
    </row>
    <row r="35" customFormat="false" ht="15" hidden="false" customHeight="false" outlineLevel="0" collapsed="false">
      <c r="A35" s="4"/>
      <c r="B35" s="4"/>
      <c r="C35" s="4"/>
      <c r="D35" s="4"/>
      <c r="E35" s="4"/>
      <c r="F35" s="5" t="str">
        <f aca="false">IF($A35="","",SUMIFS(Movements!$D$5:$D$304,Movements!$C$5:$C$304,$A35,Movements!$B$5:$B$304,"Receive"))</f>
        <v/>
      </c>
      <c r="G35" s="5" t="str">
        <f aca="false">IF($A35="","",SUMIFS(Movements!$D$5:$D$304,Movements!$C$5:$C$304,$A35,Movements!$B$5:$B$304,"Sell"))</f>
        <v/>
      </c>
      <c r="H35" s="5" t="str">
        <f aca="false">IF($A35="","",SUMIFS(Recipes!$H$5:$H$104,Recipes!$C$5:$C$104,$A35,Recipes!$B$5:$B$104,"B"))</f>
        <v/>
      </c>
      <c r="I35" s="5" t="str">
        <f aca="false">IF($A35="","",SUMIFS(Recipes!$H$5:$H$104,Recipes!$C$5:$C$104,$A35,Recipes!$B$5:$B$104,"C"))</f>
        <v/>
      </c>
      <c r="J35" s="5" t="str">
        <f aca="false">IF($A35="","",SUMIFS(Movements!$D$5:$D$304,Movements!$C$5:$C$304,$A35,Movements!$B$5:$B$304,"Adjust"))</f>
        <v/>
      </c>
      <c r="K35" s="5" t="str">
        <f aca="false">IF($A35="","",$E35+$F35-$G35-$H35-$I35+$J35)</f>
        <v/>
      </c>
      <c r="L35" s="4"/>
    </row>
    <row r="36" customFormat="false" ht="15" hidden="false" customHeight="false" outlineLevel="0" collapsed="false">
      <c r="A36" s="4"/>
      <c r="B36" s="4"/>
      <c r="C36" s="4"/>
      <c r="D36" s="4"/>
      <c r="E36" s="4"/>
      <c r="F36" s="5" t="str">
        <f aca="false">IF($A36="","",SUMIFS(Movements!$D$5:$D$304,Movements!$C$5:$C$304,$A36,Movements!$B$5:$B$304,"Receive"))</f>
        <v/>
      </c>
      <c r="G36" s="5" t="str">
        <f aca="false">IF($A36="","",SUMIFS(Movements!$D$5:$D$304,Movements!$C$5:$C$304,$A36,Movements!$B$5:$B$304,"Sell"))</f>
        <v/>
      </c>
      <c r="H36" s="5" t="str">
        <f aca="false">IF($A36="","",SUMIFS(Recipes!$H$5:$H$104,Recipes!$C$5:$C$104,$A36,Recipes!$B$5:$B$104,"B"))</f>
        <v/>
      </c>
      <c r="I36" s="5" t="str">
        <f aca="false">IF($A36="","",SUMIFS(Recipes!$H$5:$H$104,Recipes!$C$5:$C$104,$A36,Recipes!$B$5:$B$104,"C"))</f>
        <v/>
      </c>
      <c r="J36" s="5" t="str">
        <f aca="false">IF($A36="","",SUMIFS(Movements!$D$5:$D$304,Movements!$C$5:$C$304,$A36,Movements!$B$5:$B$304,"Adjust"))</f>
        <v/>
      </c>
      <c r="K36" s="5" t="str">
        <f aca="false">IF($A36="","",$E36+$F36-$G36-$H36-$I36+$J36)</f>
        <v/>
      </c>
      <c r="L36" s="4"/>
    </row>
    <row r="37" customFormat="false" ht="15" hidden="false" customHeight="false" outlineLevel="0" collapsed="false">
      <c r="A37" s="4"/>
      <c r="B37" s="4"/>
      <c r="C37" s="4"/>
      <c r="D37" s="4"/>
      <c r="E37" s="4"/>
      <c r="F37" s="5" t="str">
        <f aca="false">IF($A37="","",SUMIFS(Movements!$D$5:$D$304,Movements!$C$5:$C$304,$A37,Movements!$B$5:$B$304,"Receive"))</f>
        <v/>
      </c>
      <c r="G37" s="5" t="str">
        <f aca="false">IF($A37="","",SUMIFS(Movements!$D$5:$D$304,Movements!$C$5:$C$304,$A37,Movements!$B$5:$B$304,"Sell"))</f>
        <v/>
      </c>
      <c r="H37" s="5" t="str">
        <f aca="false">IF($A37="","",SUMIFS(Recipes!$H$5:$H$104,Recipes!$C$5:$C$104,$A37,Recipes!$B$5:$B$104,"B"))</f>
        <v/>
      </c>
      <c r="I37" s="5" t="str">
        <f aca="false">IF($A37="","",SUMIFS(Recipes!$H$5:$H$104,Recipes!$C$5:$C$104,$A37,Recipes!$B$5:$B$104,"C"))</f>
        <v/>
      </c>
      <c r="J37" s="5" t="str">
        <f aca="false">IF($A37="","",SUMIFS(Movements!$D$5:$D$304,Movements!$C$5:$C$304,$A37,Movements!$B$5:$B$304,"Adjust"))</f>
        <v/>
      </c>
      <c r="K37" s="5" t="str">
        <f aca="false">IF($A37="","",$E37+$F37-$G37-$H37-$I37+$J37)</f>
        <v/>
      </c>
      <c r="L37" s="4"/>
    </row>
    <row r="38" customFormat="false" ht="15" hidden="false" customHeight="false" outlineLevel="0" collapsed="false">
      <c r="A38" s="4"/>
      <c r="B38" s="4"/>
      <c r="C38" s="4"/>
      <c r="D38" s="4"/>
      <c r="E38" s="4"/>
      <c r="F38" s="5" t="str">
        <f aca="false">IF($A38="","",SUMIFS(Movements!$D$5:$D$304,Movements!$C$5:$C$304,$A38,Movements!$B$5:$B$304,"Receive"))</f>
        <v/>
      </c>
      <c r="G38" s="5" t="str">
        <f aca="false">IF($A38="","",SUMIFS(Movements!$D$5:$D$304,Movements!$C$5:$C$304,$A38,Movements!$B$5:$B$304,"Sell"))</f>
        <v/>
      </c>
      <c r="H38" s="5" t="str">
        <f aca="false">IF($A38="","",SUMIFS(Recipes!$H$5:$H$104,Recipes!$C$5:$C$104,$A38,Recipes!$B$5:$B$104,"B"))</f>
        <v/>
      </c>
      <c r="I38" s="5" t="str">
        <f aca="false">IF($A38="","",SUMIFS(Recipes!$H$5:$H$104,Recipes!$C$5:$C$104,$A38,Recipes!$B$5:$B$104,"C"))</f>
        <v/>
      </c>
      <c r="J38" s="5" t="str">
        <f aca="false">IF($A38="","",SUMIFS(Movements!$D$5:$D$304,Movements!$C$5:$C$304,$A38,Movements!$B$5:$B$304,"Adjust"))</f>
        <v/>
      </c>
      <c r="K38" s="5" t="str">
        <f aca="false">IF($A38="","",$E38+$F38-$G38-$H38-$I38+$J38)</f>
        <v/>
      </c>
      <c r="L38" s="4"/>
    </row>
    <row r="39" customFormat="false" ht="15" hidden="false" customHeight="false" outlineLevel="0" collapsed="false">
      <c r="A39" s="4"/>
      <c r="B39" s="4"/>
      <c r="C39" s="4"/>
      <c r="D39" s="4"/>
      <c r="E39" s="4"/>
      <c r="F39" s="5" t="str">
        <f aca="false">IF($A39="","",SUMIFS(Movements!$D$5:$D$304,Movements!$C$5:$C$304,$A39,Movements!$B$5:$B$304,"Receive"))</f>
        <v/>
      </c>
      <c r="G39" s="5" t="str">
        <f aca="false">IF($A39="","",SUMIFS(Movements!$D$5:$D$304,Movements!$C$5:$C$304,$A39,Movements!$B$5:$B$304,"Sell"))</f>
        <v/>
      </c>
      <c r="H39" s="5" t="str">
        <f aca="false">IF($A39="","",SUMIFS(Recipes!$H$5:$H$104,Recipes!$C$5:$C$104,$A39,Recipes!$B$5:$B$104,"B"))</f>
        <v/>
      </c>
      <c r="I39" s="5" t="str">
        <f aca="false">IF($A39="","",SUMIFS(Recipes!$H$5:$H$104,Recipes!$C$5:$C$104,$A39,Recipes!$B$5:$B$104,"C"))</f>
        <v/>
      </c>
      <c r="J39" s="5" t="str">
        <f aca="false">IF($A39="","",SUMIFS(Movements!$D$5:$D$304,Movements!$C$5:$C$304,$A39,Movements!$B$5:$B$304,"Adjust"))</f>
        <v/>
      </c>
      <c r="K39" s="5" t="str">
        <f aca="false">IF($A39="","",$E39+$F39-$G39-$H39-$I39+$J39)</f>
        <v/>
      </c>
      <c r="L39" s="4"/>
    </row>
    <row r="40" customFormat="false" ht="15" hidden="false" customHeight="false" outlineLevel="0" collapsed="false">
      <c r="A40" s="4"/>
      <c r="B40" s="4"/>
      <c r="C40" s="4"/>
      <c r="D40" s="4"/>
      <c r="E40" s="4"/>
      <c r="F40" s="5" t="str">
        <f aca="false">IF($A40="","",SUMIFS(Movements!$D$5:$D$304,Movements!$C$5:$C$304,$A40,Movements!$B$5:$B$304,"Receive"))</f>
        <v/>
      </c>
      <c r="G40" s="5" t="str">
        <f aca="false">IF($A40="","",SUMIFS(Movements!$D$5:$D$304,Movements!$C$5:$C$304,$A40,Movements!$B$5:$B$304,"Sell"))</f>
        <v/>
      </c>
      <c r="H40" s="5" t="str">
        <f aca="false">IF($A40="","",SUMIFS(Recipes!$H$5:$H$104,Recipes!$C$5:$C$104,$A40,Recipes!$B$5:$B$104,"B"))</f>
        <v/>
      </c>
      <c r="I40" s="5" t="str">
        <f aca="false">IF($A40="","",SUMIFS(Recipes!$H$5:$H$104,Recipes!$C$5:$C$104,$A40,Recipes!$B$5:$B$104,"C"))</f>
        <v/>
      </c>
      <c r="J40" s="5" t="str">
        <f aca="false">IF($A40="","",SUMIFS(Movements!$D$5:$D$304,Movements!$C$5:$C$304,$A40,Movements!$B$5:$B$304,"Adjust"))</f>
        <v/>
      </c>
      <c r="K40" s="5" t="str">
        <f aca="false">IF($A40="","",$E40+$F40-$G40-$H40-$I40+$J40)</f>
        <v/>
      </c>
      <c r="L40" s="4"/>
    </row>
    <row r="41" customFormat="false" ht="15" hidden="false" customHeight="false" outlineLevel="0" collapsed="false">
      <c r="A41" s="4"/>
      <c r="B41" s="4"/>
      <c r="C41" s="4"/>
      <c r="D41" s="4"/>
      <c r="E41" s="4"/>
      <c r="F41" s="5" t="str">
        <f aca="false">IF($A41="","",SUMIFS(Movements!$D$5:$D$304,Movements!$C$5:$C$304,$A41,Movements!$B$5:$B$304,"Receive"))</f>
        <v/>
      </c>
      <c r="G41" s="5" t="str">
        <f aca="false">IF($A41="","",SUMIFS(Movements!$D$5:$D$304,Movements!$C$5:$C$304,$A41,Movements!$B$5:$B$304,"Sell"))</f>
        <v/>
      </c>
      <c r="H41" s="5" t="str">
        <f aca="false">IF($A41="","",SUMIFS(Recipes!$H$5:$H$104,Recipes!$C$5:$C$104,$A41,Recipes!$B$5:$B$104,"B"))</f>
        <v/>
      </c>
      <c r="I41" s="5" t="str">
        <f aca="false">IF($A41="","",SUMIFS(Recipes!$H$5:$H$104,Recipes!$C$5:$C$104,$A41,Recipes!$B$5:$B$104,"C"))</f>
        <v/>
      </c>
      <c r="J41" s="5" t="str">
        <f aca="false">IF($A41="","",SUMIFS(Movements!$D$5:$D$304,Movements!$C$5:$C$304,$A41,Movements!$B$5:$B$304,"Adjust"))</f>
        <v/>
      </c>
      <c r="K41" s="5" t="str">
        <f aca="false">IF($A41="","",$E41+$F41-$G41-$H41-$I41+$J41)</f>
        <v/>
      </c>
      <c r="L41" s="4"/>
    </row>
    <row r="42" customFormat="false" ht="15" hidden="false" customHeight="false" outlineLevel="0" collapsed="false">
      <c r="A42" s="4"/>
      <c r="B42" s="4"/>
      <c r="C42" s="4"/>
      <c r="D42" s="4"/>
      <c r="E42" s="4"/>
      <c r="F42" s="5" t="str">
        <f aca="false">IF($A42="","",SUMIFS(Movements!$D$5:$D$304,Movements!$C$5:$C$304,$A42,Movements!$B$5:$B$304,"Receive"))</f>
        <v/>
      </c>
      <c r="G42" s="5" t="str">
        <f aca="false">IF($A42="","",SUMIFS(Movements!$D$5:$D$304,Movements!$C$5:$C$304,$A42,Movements!$B$5:$B$304,"Sell"))</f>
        <v/>
      </c>
      <c r="H42" s="5" t="str">
        <f aca="false">IF($A42="","",SUMIFS(Recipes!$H$5:$H$104,Recipes!$C$5:$C$104,$A42,Recipes!$B$5:$B$104,"B"))</f>
        <v/>
      </c>
      <c r="I42" s="5" t="str">
        <f aca="false">IF($A42="","",SUMIFS(Recipes!$H$5:$H$104,Recipes!$C$5:$C$104,$A42,Recipes!$B$5:$B$104,"C"))</f>
        <v/>
      </c>
      <c r="J42" s="5" t="str">
        <f aca="false">IF($A42="","",SUMIFS(Movements!$D$5:$D$304,Movements!$C$5:$C$304,$A42,Movements!$B$5:$B$304,"Adjust"))</f>
        <v/>
      </c>
      <c r="K42" s="5" t="str">
        <f aca="false">IF($A42="","",$E42+$F42-$G42-$H42-$I42+$J42)</f>
        <v/>
      </c>
      <c r="L42" s="4"/>
    </row>
    <row r="43" customFormat="false" ht="15" hidden="false" customHeight="false" outlineLevel="0" collapsed="false">
      <c r="A43" s="4"/>
      <c r="B43" s="4"/>
      <c r="C43" s="4"/>
      <c r="D43" s="4"/>
      <c r="E43" s="4"/>
      <c r="F43" s="5" t="str">
        <f aca="false">IF($A43="","",SUMIFS(Movements!$D$5:$D$304,Movements!$C$5:$C$304,$A43,Movements!$B$5:$B$304,"Receive"))</f>
        <v/>
      </c>
      <c r="G43" s="5" t="str">
        <f aca="false">IF($A43="","",SUMIFS(Movements!$D$5:$D$304,Movements!$C$5:$C$304,$A43,Movements!$B$5:$B$304,"Sell"))</f>
        <v/>
      </c>
      <c r="H43" s="5" t="str">
        <f aca="false">IF($A43="","",SUMIFS(Recipes!$H$5:$H$104,Recipes!$C$5:$C$104,$A43,Recipes!$B$5:$B$104,"B"))</f>
        <v/>
      </c>
      <c r="I43" s="5" t="str">
        <f aca="false">IF($A43="","",SUMIFS(Recipes!$H$5:$H$104,Recipes!$C$5:$C$104,$A43,Recipes!$B$5:$B$104,"C"))</f>
        <v/>
      </c>
      <c r="J43" s="5" t="str">
        <f aca="false">IF($A43="","",SUMIFS(Movements!$D$5:$D$304,Movements!$C$5:$C$304,$A43,Movements!$B$5:$B$304,"Adjust"))</f>
        <v/>
      </c>
      <c r="K43" s="5" t="str">
        <f aca="false">IF($A43="","",$E43+$F43-$G43-$H43-$I43+$J43)</f>
        <v/>
      </c>
      <c r="L43" s="4"/>
    </row>
    <row r="44" customFormat="false" ht="15" hidden="false" customHeight="false" outlineLevel="0" collapsed="false">
      <c r="A44" s="4"/>
      <c r="B44" s="4"/>
      <c r="C44" s="4"/>
      <c r="D44" s="4"/>
      <c r="E44" s="4"/>
      <c r="F44" s="5" t="str">
        <f aca="false">IF($A44="","",SUMIFS(Movements!$D$5:$D$304,Movements!$C$5:$C$304,$A44,Movements!$B$5:$B$304,"Receive"))</f>
        <v/>
      </c>
      <c r="G44" s="5" t="str">
        <f aca="false">IF($A44="","",SUMIFS(Movements!$D$5:$D$304,Movements!$C$5:$C$304,$A44,Movements!$B$5:$B$304,"Sell"))</f>
        <v/>
      </c>
      <c r="H44" s="5" t="str">
        <f aca="false">IF($A44="","",SUMIFS(Recipes!$H$5:$H$104,Recipes!$C$5:$C$104,$A44,Recipes!$B$5:$B$104,"B"))</f>
        <v/>
      </c>
      <c r="I44" s="5" t="str">
        <f aca="false">IF($A44="","",SUMIFS(Recipes!$H$5:$H$104,Recipes!$C$5:$C$104,$A44,Recipes!$B$5:$B$104,"C"))</f>
        <v/>
      </c>
      <c r="J44" s="5" t="str">
        <f aca="false">IF($A44="","",SUMIFS(Movements!$D$5:$D$304,Movements!$C$5:$C$304,$A44,Movements!$B$5:$B$304,"Adjust"))</f>
        <v/>
      </c>
      <c r="K44" s="5" t="str">
        <f aca="false">IF($A44="","",$E44+$F44-$G44-$H44-$I44+$J44)</f>
        <v/>
      </c>
      <c r="L44" s="4"/>
    </row>
    <row r="45" customFormat="false" ht="15" hidden="false" customHeight="false" outlineLevel="0" collapsed="false">
      <c r="A45" s="4"/>
      <c r="B45" s="4"/>
      <c r="C45" s="4"/>
      <c r="D45" s="4"/>
      <c r="E45" s="4"/>
      <c r="F45" s="5" t="str">
        <f aca="false">IF($A45="","",SUMIFS(Movements!$D$5:$D$304,Movements!$C$5:$C$304,$A45,Movements!$B$5:$B$304,"Receive"))</f>
        <v/>
      </c>
      <c r="G45" s="5" t="str">
        <f aca="false">IF($A45="","",SUMIFS(Movements!$D$5:$D$304,Movements!$C$5:$C$304,$A45,Movements!$B$5:$B$304,"Sell"))</f>
        <v/>
      </c>
      <c r="H45" s="5" t="str">
        <f aca="false">IF($A45="","",SUMIFS(Recipes!$H$5:$H$104,Recipes!$C$5:$C$104,$A45,Recipes!$B$5:$B$104,"B"))</f>
        <v/>
      </c>
      <c r="I45" s="5" t="str">
        <f aca="false">IF($A45="","",SUMIFS(Recipes!$H$5:$H$104,Recipes!$C$5:$C$104,$A45,Recipes!$B$5:$B$104,"C"))</f>
        <v/>
      </c>
      <c r="J45" s="5" t="str">
        <f aca="false">IF($A45="","",SUMIFS(Movements!$D$5:$D$304,Movements!$C$5:$C$304,$A45,Movements!$B$5:$B$304,"Adjust"))</f>
        <v/>
      </c>
      <c r="K45" s="5" t="str">
        <f aca="false">IF($A45="","",$E45+$F45-$G45-$H45-$I45+$J45)</f>
        <v/>
      </c>
      <c r="L45" s="4"/>
    </row>
    <row r="46" customFormat="false" ht="15" hidden="false" customHeight="false" outlineLevel="0" collapsed="false">
      <c r="A46" s="4"/>
      <c r="B46" s="4"/>
      <c r="C46" s="4"/>
      <c r="D46" s="4"/>
      <c r="E46" s="4"/>
      <c r="F46" s="5" t="str">
        <f aca="false">IF($A46="","",SUMIFS(Movements!$D$5:$D$304,Movements!$C$5:$C$304,$A46,Movements!$B$5:$B$304,"Receive"))</f>
        <v/>
      </c>
      <c r="G46" s="5" t="str">
        <f aca="false">IF($A46="","",SUMIFS(Movements!$D$5:$D$304,Movements!$C$5:$C$304,$A46,Movements!$B$5:$B$304,"Sell"))</f>
        <v/>
      </c>
      <c r="H46" s="5" t="str">
        <f aca="false">IF($A46="","",SUMIFS(Recipes!$H$5:$H$104,Recipes!$C$5:$C$104,$A46,Recipes!$B$5:$B$104,"B"))</f>
        <v/>
      </c>
      <c r="I46" s="5" t="str">
        <f aca="false">IF($A46="","",SUMIFS(Recipes!$H$5:$H$104,Recipes!$C$5:$C$104,$A46,Recipes!$B$5:$B$104,"C"))</f>
        <v/>
      </c>
      <c r="J46" s="5" t="str">
        <f aca="false">IF($A46="","",SUMIFS(Movements!$D$5:$D$304,Movements!$C$5:$C$304,$A46,Movements!$B$5:$B$304,"Adjust"))</f>
        <v/>
      </c>
      <c r="K46" s="5" t="str">
        <f aca="false">IF($A46="","",$E46+$F46-$G46-$H46-$I46+$J46)</f>
        <v/>
      </c>
      <c r="L46" s="4"/>
    </row>
    <row r="47" customFormat="false" ht="15" hidden="false" customHeight="false" outlineLevel="0" collapsed="false">
      <c r="A47" s="4"/>
      <c r="B47" s="4"/>
      <c r="C47" s="4"/>
      <c r="D47" s="4"/>
      <c r="E47" s="4"/>
      <c r="F47" s="5" t="str">
        <f aca="false">IF($A47="","",SUMIFS(Movements!$D$5:$D$304,Movements!$C$5:$C$304,$A47,Movements!$B$5:$B$304,"Receive"))</f>
        <v/>
      </c>
      <c r="G47" s="5" t="str">
        <f aca="false">IF($A47="","",SUMIFS(Movements!$D$5:$D$304,Movements!$C$5:$C$304,$A47,Movements!$B$5:$B$304,"Sell"))</f>
        <v/>
      </c>
      <c r="H47" s="5" t="str">
        <f aca="false">IF($A47="","",SUMIFS(Recipes!$H$5:$H$104,Recipes!$C$5:$C$104,$A47,Recipes!$B$5:$B$104,"B"))</f>
        <v/>
      </c>
      <c r="I47" s="5" t="str">
        <f aca="false">IF($A47="","",SUMIFS(Recipes!$H$5:$H$104,Recipes!$C$5:$C$104,$A47,Recipes!$B$5:$B$104,"C"))</f>
        <v/>
      </c>
      <c r="J47" s="5" t="str">
        <f aca="false">IF($A47="","",SUMIFS(Movements!$D$5:$D$304,Movements!$C$5:$C$304,$A47,Movements!$B$5:$B$304,"Adjust"))</f>
        <v/>
      </c>
      <c r="K47" s="5" t="str">
        <f aca="false">IF($A47="","",$E47+$F47-$G47-$H47-$I47+$J47)</f>
        <v/>
      </c>
      <c r="L47" s="4"/>
    </row>
    <row r="48" customFormat="false" ht="15" hidden="false" customHeight="false" outlineLevel="0" collapsed="false">
      <c r="A48" s="4"/>
      <c r="B48" s="4"/>
      <c r="C48" s="4"/>
      <c r="D48" s="4"/>
      <c r="E48" s="4"/>
      <c r="F48" s="5" t="str">
        <f aca="false">IF($A48="","",SUMIFS(Movements!$D$5:$D$304,Movements!$C$5:$C$304,$A48,Movements!$B$5:$B$304,"Receive"))</f>
        <v/>
      </c>
      <c r="G48" s="5" t="str">
        <f aca="false">IF($A48="","",SUMIFS(Movements!$D$5:$D$304,Movements!$C$5:$C$304,$A48,Movements!$B$5:$B$304,"Sell"))</f>
        <v/>
      </c>
      <c r="H48" s="5" t="str">
        <f aca="false">IF($A48="","",SUMIFS(Recipes!$H$5:$H$104,Recipes!$C$5:$C$104,$A48,Recipes!$B$5:$B$104,"B"))</f>
        <v/>
      </c>
      <c r="I48" s="5" t="str">
        <f aca="false">IF($A48="","",SUMIFS(Recipes!$H$5:$H$104,Recipes!$C$5:$C$104,$A48,Recipes!$B$5:$B$104,"C"))</f>
        <v/>
      </c>
      <c r="J48" s="5" t="str">
        <f aca="false">IF($A48="","",SUMIFS(Movements!$D$5:$D$304,Movements!$C$5:$C$304,$A48,Movements!$B$5:$B$304,"Adjust"))</f>
        <v/>
      </c>
      <c r="K48" s="5" t="str">
        <f aca="false">IF($A48="","",$E48+$F48-$G48-$H48-$I48+$J48)</f>
        <v/>
      </c>
      <c r="L48" s="4"/>
    </row>
    <row r="49" customFormat="false" ht="15" hidden="false" customHeight="false" outlineLevel="0" collapsed="false">
      <c r="A49" s="4"/>
      <c r="B49" s="4"/>
      <c r="C49" s="4"/>
      <c r="D49" s="4"/>
      <c r="E49" s="4"/>
      <c r="F49" s="5" t="str">
        <f aca="false">IF($A49="","",SUMIFS(Movements!$D$5:$D$304,Movements!$C$5:$C$304,$A49,Movements!$B$5:$B$304,"Receive"))</f>
        <v/>
      </c>
      <c r="G49" s="5" t="str">
        <f aca="false">IF($A49="","",SUMIFS(Movements!$D$5:$D$304,Movements!$C$5:$C$304,$A49,Movements!$B$5:$B$304,"Sell"))</f>
        <v/>
      </c>
      <c r="H49" s="5" t="str">
        <f aca="false">IF($A49="","",SUMIFS(Recipes!$H$5:$H$104,Recipes!$C$5:$C$104,$A49,Recipes!$B$5:$B$104,"B"))</f>
        <v/>
      </c>
      <c r="I49" s="5" t="str">
        <f aca="false">IF($A49="","",SUMIFS(Recipes!$H$5:$H$104,Recipes!$C$5:$C$104,$A49,Recipes!$B$5:$B$104,"C"))</f>
        <v/>
      </c>
      <c r="J49" s="5" t="str">
        <f aca="false">IF($A49="","",SUMIFS(Movements!$D$5:$D$304,Movements!$C$5:$C$304,$A49,Movements!$B$5:$B$304,"Adjust"))</f>
        <v/>
      </c>
      <c r="K49" s="5" t="str">
        <f aca="false">IF($A49="","",$E49+$F49-$G49-$H49-$I49+$J49)</f>
        <v/>
      </c>
      <c r="L49" s="4"/>
    </row>
    <row r="50" customFormat="false" ht="15" hidden="false" customHeight="false" outlineLevel="0" collapsed="false">
      <c r="A50" s="4"/>
      <c r="B50" s="4"/>
      <c r="C50" s="4"/>
      <c r="D50" s="4"/>
      <c r="E50" s="4"/>
      <c r="F50" s="5" t="str">
        <f aca="false">IF($A50="","",SUMIFS(Movements!$D$5:$D$304,Movements!$C$5:$C$304,$A50,Movements!$B$5:$B$304,"Receive"))</f>
        <v/>
      </c>
      <c r="G50" s="5" t="str">
        <f aca="false">IF($A50="","",SUMIFS(Movements!$D$5:$D$304,Movements!$C$5:$C$304,$A50,Movements!$B$5:$B$304,"Sell"))</f>
        <v/>
      </c>
      <c r="H50" s="5" t="str">
        <f aca="false">IF($A50="","",SUMIFS(Recipes!$H$5:$H$104,Recipes!$C$5:$C$104,$A50,Recipes!$B$5:$B$104,"B"))</f>
        <v/>
      </c>
      <c r="I50" s="5" t="str">
        <f aca="false">IF($A50="","",SUMIFS(Recipes!$H$5:$H$104,Recipes!$C$5:$C$104,$A50,Recipes!$B$5:$B$104,"C"))</f>
        <v/>
      </c>
      <c r="J50" s="5" t="str">
        <f aca="false">IF($A50="","",SUMIFS(Movements!$D$5:$D$304,Movements!$C$5:$C$304,$A50,Movements!$B$5:$B$304,"Adjust"))</f>
        <v/>
      </c>
      <c r="K50" s="5" t="str">
        <f aca="false">IF($A50="","",$E50+$F50-$G50-$H50-$I50+$J50)</f>
        <v/>
      </c>
      <c r="L50" s="4"/>
    </row>
    <row r="51" customFormat="false" ht="15" hidden="false" customHeight="false" outlineLevel="0" collapsed="false">
      <c r="A51" s="4"/>
      <c r="B51" s="4"/>
      <c r="C51" s="4"/>
      <c r="D51" s="4"/>
      <c r="E51" s="4"/>
      <c r="F51" s="5" t="str">
        <f aca="false">IF($A51="","",SUMIFS(Movements!$D$5:$D$304,Movements!$C$5:$C$304,$A51,Movements!$B$5:$B$304,"Receive"))</f>
        <v/>
      </c>
      <c r="G51" s="5" t="str">
        <f aca="false">IF($A51="","",SUMIFS(Movements!$D$5:$D$304,Movements!$C$5:$C$304,$A51,Movements!$B$5:$B$304,"Sell"))</f>
        <v/>
      </c>
      <c r="H51" s="5" t="str">
        <f aca="false">IF($A51="","",SUMIFS(Recipes!$H$5:$H$104,Recipes!$C$5:$C$104,$A51,Recipes!$B$5:$B$104,"B"))</f>
        <v/>
      </c>
      <c r="I51" s="5" t="str">
        <f aca="false">IF($A51="","",SUMIFS(Recipes!$H$5:$H$104,Recipes!$C$5:$C$104,$A51,Recipes!$B$5:$B$104,"C"))</f>
        <v/>
      </c>
      <c r="J51" s="5" t="str">
        <f aca="false">IF($A51="","",SUMIFS(Movements!$D$5:$D$304,Movements!$C$5:$C$304,$A51,Movements!$B$5:$B$304,"Adjust"))</f>
        <v/>
      </c>
      <c r="K51" s="5" t="str">
        <f aca="false">IF($A51="","",$E51+$F51-$G51-$H51-$I51+$J51)</f>
        <v/>
      </c>
      <c r="L51" s="4"/>
    </row>
    <row r="52" customFormat="false" ht="15" hidden="false" customHeight="false" outlineLevel="0" collapsed="false">
      <c r="A52" s="4"/>
      <c r="B52" s="4"/>
      <c r="C52" s="4"/>
      <c r="D52" s="4"/>
      <c r="E52" s="4"/>
      <c r="F52" s="5" t="str">
        <f aca="false">IF($A52="","",SUMIFS(Movements!$D$5:$D$304,Movements!$C$5:$C$304,$A52,Movements!$B$5:$B$304,"Receive"))</f>
        <v/>
      </c>
      <c r="G52" s="5" t="str">
        <f aca="false">IF($A52="","",SUMIFS(Movements!$D$5:$D$304,Movements!$C$5:$C$304,$A52,Movements!$B$5:$B$304,"Sell"))</f>
        <v/>
      </c>
      <c r="H52" s="5" t="str">
        <f aca="false">IF($A52="","",SUMIFS(Recipes!$H$5:$H$104,Recipes!$C$5:$C$104,$A52,Recipes!$B$5:$B$104,"B"))</f>
        <v/>
      </c>
      <c r="I52" s="5" t="str">
        <f aca="false">IF($A52="","",SUMIFS(Recipes!$H$5:$H$104,Recipes!$C$5:$C$104,$A52,Recipes!$B$5:$B$104,"C"))</f>
        <v/>
      </c>
      <c r="J52" s="5" t="str">
        <f aca="false">IF($A52="","",SUMIFS(Movements!$D$5:$D$304,Movements!$C$5:$C$304,$A52,Movements!$B$5:$B$304,"Adjust"))</f>
        <v/>
      </c>
      <c r="K52" s="5" t="str">
        <f aca="false">IF($A52="","",$E52+$F52-$G52-$H52-$I52+$J52)</f>
        <v/>
      </c>
      <c r="L52" s="4"/>
    </row>
    <row r="53" customFormat="false" ht="15" hidden="false" customHeight="false" outlineLevel="0" collapsed="false">
      <c r="A53" s="4"/>
      <c r="B53" s="4"/>
      <c r="C53" s="4"/>
      <c r="D53" s="4"/>
      <c r="E53" s="4"/>
      <c r="F53" s="5" t="str">
        <f aca="false">IF($A53="","",SUMIFS(Movements!$D$5:$D$304,Movements!$C$5:$C$304,$A53,Movements!$B$5:$B$304,"Receive"))</f>
        <v/>
      </c>
      <c r="G53" s="5" t="str">
        <f aca="false">IF($A53="","",SUMIFS(Movements!$D$5:$D$304,Movements!$C$5:$C$304,$A53,Movements!$B$5:$B$304,"Sell"))</f>
        <v/>
      </c>
      <c r="H53" s="5" t="str">
        <f aca="false">IF($A53="","",SUMIFS(Recipes!$H$5:$H$104,Recipes!$C$5:$C$104,$A53,Recipes!$B$5:$B$104,"B"))</f>
        <v/>
      </c>
      <c r="I53" s="5" t="str">
        <f aca="false">IF($A53="","",SUMIFS(Recipes!$H$5:$H$104,Recipes!$C$5:$C$104,$A53,Recipes!$B$5:$B$104,"C"))</f>
        <v/>
      </c>
      <c r="J53" s="5" t="str">
        <f aca="false">IF($A53="","",SUMIFS(Movements!$D$5:$D$304,Movements!$C$5:$C$304,$A53,Movements!$B$5:$B$304,"Adjust"))</f>
        <v/>
      </c>
      <c r="K53" s="5" t="str">
        <f aca="false">IF($A53="","",$E53+$F53-$G53-$H53-$I53+$J53)</f>
        <v/>
      </c>
      <c r="L53" s="4"/>
    </row>
    <row r="54" customFormat="false" ht="15" hidden="false" customHeight="false" outlineLevel="0" collapsed="false">
      <c r="A54" s="4"/>
      <c r="B54" s="4"/>
      <c r="C54" s="4"/>
      <c r="D54" s="4"/>
      <c r="E54" s="4"/>
      <c r="F54" s="5" t="str">
        <f aca="false">IF($A54="","",SUMIFS(Movements!$D$5:$D$304,Movements!$C$5:$C$304,$A54,Movements!$B$5:$B$304,"Receive"))</f>
        <v/>
      </c>
      <c r="G54" s="5" t="str">
        <f aca="false">IF($A54="","",SUMIFS(Movements!$D$5:$D$304,Movements!$C$5:$C$304,$A54,Movements!$B$5:$B$304,"Sell"))</f>
        <v/>
      </c>
      <c r="H54" s="5" t="str">
        <f aca="false">IF($A54="","",SUMIFS(Recipes!$H$5:$H$104,Recipes!$C$5:$C$104,$A54,Recipes!$B$5:$B$104,"B"))</f>
        <v/>
      </c>
      <c r="I54" s="5" t="str">
        <f aca="false">IF($A54="","",SUMIFS(Recipes!$H$5:$H$104,Recipes!$C$5:$C$104,$A54,Recipes!$B$5:$B$104,"C"))</f>
        <v/>
      </c>
      <c r="J54" s="5" t="str">
        <f aca="false">IF($A54="","",SUMIFS(Movements!$D$5:$D$304,Movements!$C$5:$C$304,$A54,Movements!$B$5:$B$304,"Adjust"))</f>
        <v/>
      </c>
      <c r="K54" s="5" t="str">
        <f aca="false">IF($A54="","",$E54+$F54-$G54-$H54-$I54+$J54)</f>
        <v/>
      </c>
      <c r="L54" s="4"/>
    </row>
    <row r="55" customFormat="false" ht="15" hidden="false" customHeight="false" outlineLevel="0" collapsed="false">
      <c r="A55" s="4"/>
      <c r="B55" s="4"/>
      <c r="C55" s="4"/>
      <c r="D55" s="4"/>
      <c r="E55" s="4"/>
      <c r="F55" s="5" t="str">
        <f aca="false">IF($A55="","",SUMIFS(Movements!$D$5:$D$304,Movements!$C$5:$C$304,$A55,Movements!$B$5:$B$304,"Receive"))</f>
        <v/>
      </c>
      <c r="G55" s="5" t="str">
        <f aca="false">IF($A55="","",SUMIFS(Movements!$D$5:$D$304,Movements!$C$5:$C$304,$A55,Movements!$B$5:$B$304,"Sell"))</f>
        <v/>
      </c>
      <c r="H55" s="5" t="str">
        <f aca="false">IF($A55="","",SUMIFS(Recipes!$H$5:$H$104,Recipes!$C$5:$C$104,$A55,Recipes!$B$5:$B$104,"B"))</f>
        <v/>
      </c>
      <c r="I55" s="5" t="str">
        <f aca="false">IF($A55="","",SUMIFS(Recipes!$H$5:$H$104,Recipes!$C$5:$C$104,$A55,Recipes!$B$5:$B$104,"C"))</f>
        <v/>
      </c>
      <c r="J55" s="5" t="str">
        <f aca="false">IF($A55="","",SUMIFS(Movements!$D$5:$D$304,Movements!$C$5:$C$304,$A55,Movements!$B$5:$B$304,"Adjust"))</f>
        <v/>
      </c>
      <c r="K55" s="5" t="str">
        <f aca="false">IF($A55="","",$E55+$F55-$G55-$H55-$I55+$J55)</f>
        <v/>
      </c>
      <c r="L55" s="4"/>
    </row>
    <row r="56" customFormat="false" ht="15" hidden="false" customHeight="false" outlineLevel="0" collapsed="false">
      <c r="A56" s="4"/>
      <c r="B56" s="4"/>
      <c r="C56" s="4"/>
      <c r="D56" s="4"/>
      <c r="E56" s="4"/>
      <c r="F56" s="5" t="str">
        <f aca="false">IF($A56="","",SUMIFS(Movements!$D$5:$D$304,Movements!$C$5:$C$304,$A56,Movements!$B$5:$B$304,"Receive"))</f>
        <v/>
      </c>
      <c r="G56" s="5" t="str">
        <f aca="false">IF($A56="","",SUMIFS(Movements!$D$5:$D$304,Movements!$C$5:$C$304,$A56,Movements!$B$5:$B$304,"Sell"))</f>
        <v/>
      </c>
      <c r="H56" s="5" t="str">
        <f aca="false">IF($A56="","",SUMIFS(Recipes!$H$5:$H$104,Recipes!$C$5:$C$104,$A56,Recipes!$B$5:$B$104,"B"))</f>
        <v/>
      </c>
      <c r="I56" s="5" t="str">
        <f aca="false">IF($A56="","",SUMIFS(Recipes!$H$5:$H$104,Recipes!$C$5:$C$104,$A56,Recipes!$B$5:$B$104,"C"))</f>
        <v/>
      </c>
      <c r="J56" s="5" t="str">
        <f aca="false">IF($A56="","",SUMIFS(Movements!$D$5:$D$304,Movements!$C$5:$C$304,$A56,Movements!$B$5:$B$304,"Adjust"))</f>
        <v/>
      </c>
      <c r="K56" s="5" t="str">
        <f aca="false">IF($A56="","",$E56+$F56-$G56-$H56-$I56+$J56)</f>
        <v/>
      </c>
      <c r="L56" s="4"/>
    </row>
    <row r="57" customFormat="false" ht="15" hidden="false" customHeight="false" outlineLevel="0" collapsed="false">
      <c r="A57" s="4"/>
      <c r="B57" s="4"/>
      <c r="C57" s="4"/>
      <c r="D57" s="4"/>
      <c r="E57" s="4"/>
      <c r="F57" s="5" t="str">
        <f aca="false">IF($A57="","",SUMIFS(Movements!$D$5:$D$304,Movements!$C$5:$C$304,$A57,Movements!$B$5:$B$304,"Receive"))</f>
        <v/>
      </c>
      <c r="G57" s="5" t="str">
        <f aca="false">IF($A57="","",SUMIFS(Movements!$D$5:$D$304,Movements!$C$5:$C$304,$A57,Movements!$B$5:$B$304,"Sell"))</f>
        <v/>
      </c>
      <c r="H57" s="5" t="str">
        <f aca="false">IF($A57="","",SUMIFS(Recipes!$H$5:$H$104,Recipes!$C$5:$C$104,$A57,Recipes!$B$5:$B$104,"B"))</f>
        <v/>
      </c>
      <c r="I57" s="5" t="str">
        <f aca="false">IF($A57="","",SUMIFS(Recipes!$H$5:$H$104,Recipes!$C$5:$C$104,$A57,Recipes!$B$5:$B$104,"C"))</f>
        <v/>
      </c>
      <c r="J57" s="5" t="str">
        <f aca="false">IF($A57="","",SUMIFS(Movements!$D$5:$D$304,Movements!$C$5:$C$304,$A57,Movements!$B$5:$B$304,"Adjust"))</f>
        <v/>
      </c>
      <c r="K57" s="5" t="str">
        <f aca="false">IF($A57="","",$E57+$F57-$G57-$H57-$I57+$J57)</f>
        <v/>
      </c>
      <c r="L57" s="4"/>
    </row>
    <row r="58" customFormat="false" ht="15" hidden="false" customHeight="false" outlineLevel="0" collapsed="false">
      <c r="A58" s="4"/>
      <c r="B58" s="4"/>
      <c r="C58" s="4"/>
      <c r="D58" s="4"/>
      <c r="E58" s="4"/>
      <c r="F58" s="5" t="str">
        <f aca="false">IF($A58="","",SUMIFS(Movements!$D$5:$D$304,Movements!$C$5:$C$304,$A58,Movements!$B$5:$B$304,"Receive"))</f>
        <v/>
      </c>
      <c r="G58" s="5" t="str">
        <f aca="false">IF($A58="","",SUMIFS(Movements!$D$5:$D$304,Movements!$C$5:$C$304,$A58,Movements!$B$5:$B$304,"Sell"))</f>
        <v/>
      </c>
      <c r="H58" s="5" t="str">
        <f aca="false">IF($A58="","",SUMIFS(Recipes!$H$5:$H$104,Recipes!$C$5:$C$104,$A58,Recipes!$B$5:$B$104,"B"))</f>
        <v/>
      </c>
      <c r="I58" s="5" t="str">
        <f aca="false">IF($A58="","",SUMIFS(Recipes!$H$5:$H$104,Recipes!$C$5:$C$104,$A58,Recipes!$B$5:$B$104,"C"))</f>
        <v/>
      </c>
      <c r="J58" s="5" t="str">
        <f aca="false">IF($A58="","",SUMIFS(Movements!$D$5:$D$304,Movements!$C$5:$C$304,$A58,Movements!$B$5:$B$304,"Adjust"))</f>
        <v/>
      </c>
      <c r="K58" s="5" t="str">
        <f aca="false">IF($A58="","",$E58+$F58-$G58-$H58-$I58+$J58)</f>
        <v/>
      </c>
      <c r="L58" s="4"/>
    </row>
    <row r="59" customFormat="false" ht="15" hidden="false" customHeight="false" outlineLevel="0" collapsed="false">
      <c r="A59" s="4"/>
      <c r="B59" s="4"/>
      <c r="C59" s="4"/>
      <c r="D59" s="4"/>
      <c r="E59" s="4"/>
      <c r="F59" s="5" t="str">
        <f aca="false">IF($A59="","",SUMIFS(Movements!$D$5:$D$304,Movements!$C$5:$C$304,$A59,Movements!$B$5:$B$304,"Receive"))</f>
        <v/>
      </c>
      <c r="G59" s="5" t="str">
        <f aca="false">IF($A59="","",SUMIFS(Movements!$D$5:$D$304,Movements!$C$5:$C$304,$A59,Movements!$B$5:$B$304,"Sell"))</f>
        <v/>
      </c>
      <c r="H59" s="5" t="str">
        <f aca="false">IF($A59="","",SUMIFS(Recipes!$H$5:$H$104,Recipes!$C$5:$C$104,$A59,Recipes!$B$5:$B$104,"B"))</f>
        <v/>
      </c>
      <c r="I59" s="5" t="str">
        <f aca="false">IF($A59="","",SUMIFS(Recipes!$H$5:$H$104,Recipes!$C$5:$C$104,$A59,Recipes!$B$5:$B$104,"C"))</f>
        <v/>
      </c>
      <c r="J59" s="5" t="str">
        <f aca="false">IF($A59="","",SUMIFS(Movements!$D$5:$D$304,Movements!$C$5:$C$304,$A59,Movements!$B$5:$B$304,"Adjust"))</f>
        <v/>
      </c>
      <c r="K59" s="5" t="str">
        <f aca="false">IF($A59="","",$E59+$F59-$G59-$H59-$I59+$J59)</f>
        <v/>
      </c>
      <c r="L59" s="4"/>
    </row>
    <row r="60" customFormat="false" ht="15" hidden="false" customHeight="false" outlineLevel="0" collapsed="false">
      <c r="A60" s="4"/>
      <c r="B60" s="4"/>
      <c r="C60" s="4"/>
      <c r="D60" s="4"/>
      <c r="E60" s="4"/>
      <c r="F60" s="5" t="str">
        <f aca="false">IF($A60="","",SUMIFS(Movements!$D$5:$D$304,Movements!$C$5:$C$304,$A60,Movements!$B$5:$B$304,"Receive"))</f>
        <v/>
      </c>
      <c r="G60" s="5" t="str">
        <f aca="false">IF($A60="","",SUMIFS(Movements!$D$5:$D$304,Movements!$C$5:$C$304,$A60,Movements!$B$5:$B$304,"Sell"))</f>
        <v/>
      </c>
      <c r="H60" s="5" t="str">
        <f aca="false">IF($A60="","",SUMIFS(Recipes!$H$5:$H$104,Recipes!$C$5:$C$104,$A60,Recipes!$B$5:$B$104,"B"))</f>
        <v/>
      </c>
      <c r="I60" s="5" t="str">
        <f aca="false">IF($A60="","",SUMIFS(Recipes!$H$5:$H$104,Recipes!$C$5:$C$104,$A60,Recipes!$B$5:$B$104,"C"))</f>
        <v/>
      </c>
      <c r="J60" s="5" t="str">
        <f aca="false">IF($A60="","",SUMIFS(Movements!$D$5:$D$304,Movements!$C$5:$C$304,$A60,Movements!$B$5:$B$304,"Adjust"))</f>
        <v/>
      </c>
      <c r="K60" s="5" t="str">
        <f aca="false">IF($A60="","",$E60+$F60-$G60-$H60-$I60+$J60)</f>
        <v/>
      </c>
      <c r="L60" s="4"/>
    </row>
    <row r="61" customFormat="false" ht="15" hidden="false" customHeight="false" outlineLevel="0" collapsed="false">
      <c r="A61" s="4"/>
      <c r="B61" s="4"/>
      <c r="C61" s="4"/>
      <c r="D61" s="4"/>
      <c r="E61" s="4"/>
      <c r="F61" s="5" t="str">
        <f aca="false">IF($A61="","",SUMIFS(Movements!$D$5:$D$304,Movements!$C$5:$C$304,$A61,Movements!$B$5:$B$304,"Receive"))</f>
        <v/>
      </c>
      <c r="G61" s="5" t="str">
        <f aca="false">IF($A61="","",SUMIFS(Movements!$D$5:$D$304,Movements!$C$5:$C$304,$A61,Movements!$B$5:$B$304,"Sell"))</f>
        <v/>
      </c>
      <c r="H61" s="5" t="str">
        <f aca="false">IF($A61="","",SUMIFS(Recipes!$H$5:$H$104,Recipes!$C$5:$C$104,$A61,Recipes!$B$5:$B$104,"B"))</f>
        <v/>
      </c>
      <c r="I61" s="5" t="str">
        <f aca="false">IF($A61="","",SUMIFS(Recipes!$H$5:$H$104,Recipes!$C$5:$C$104,$A61,Recipes!$B$5:$B$104,"C"))</f>
        <v/>
      </c>
      <c r="J61" s="5" t="str">
        <f aca="false">IF($A61="","",SUMIFS(Movements!$D$5:$D$304,Movements!$C$5:$C$304,$A61,Movements!$B$5:$B$304,"Adjust"))</f>
        <v/>
      </c>
      <c r="K61" s="5" t="str">
        <f aca="false">IF($A61="","",$E61+$F61-$G61-$H61-$I61+$J61)</f>
        <v/>
      </c>
      <c r="L61" s="4"/>
    </row>
    <row r="62" customFormat="false" ht="15" hidden="false" customHeight="false" outlineLevel="0" collapsed="false">
      <c r="A62" s="4"/>
      <c r="B62" s="4"/>
      <c r="C62" s="4"/>
      <c r="D62" s="4"/>
      <c r="E62" s="4"/>
      <c r="F62" s="5" t="str">
        <f aca="false">IF($A62="","",SUMIFS(Movements!$D$5:$D$304,Movements!$C$5:$C$304,$A62,Movements!$B$5:$B$304,"Receive"))</f>
        <v/>
      </c>
      <c r="G62" s="5" t="str">
        <f aca="false">IF($A62="","",SUMIFS(Movements!$D$5:$D$304,Movements!$C$5:$C$304,$A62,Movements!$B$5:$B$304,"Sell"))</f>
        <v/>
      </c>
      <c r="H62" s="5" t="str">
        <f aca="false">IF($A62="","",SUMIFS(Recipes!$H$5:$H$104,Recipes!$C$5:$C$104,$A62,Recipes!$B$5:$B$104,"B"))</f>
        <v/>
      </c>
      <c r="I62" s="5" t="str">
        <f aca="false">IF($A62="","",SUMIFS(Recipes!$H$5:$H$104,Recipes!$C$5:$C$104,$A62,Recipes!$B$5:$B$104,"C"))</f>
        <v/>
      </c>
      <c r="J62" s="5" t="str">
        <f aca="false">IF($A62="","",SUMIFS(Movements!$D$5:$D$304,Movements!$C$5:$C$304,$A62,Movements!$B$5:$B$304,"Adjust"))</f>
        <v/>
      </c>
      <c r="K62" s="5" t="str">
        <f aca="false">IF($A62="","",$E62+$F62-$G62-$H62-$I62+$J62)</f>
        <v/>
      </c>
      <c r="L62" s="4"/>
    </row>
    <row r="63" customFormat="false" ht="15" hidden="false" customHeight="false" outlineLevel="0" collapsed="false">
      <c r="A63" s="4"/>
      <c r="B63" s="4"/>
      <c r="C63" s="4"/>
      <c r="D63" s="4"/>
      <c r="E63" s="4"/>
      <c r="F63" s="5" t="str">
        <f aca="false">IF($A63="","",SUMIFS(Movements!$D$5:$D$304,Movements!$C$5:$C$304,$A63,Movements!$B$5:$B$304,"Receive"))</f>
        <v/>
      </c>
      <c r="G63" s="5" t="str">
        <f aca="false">IF($A63="","",SUMIFS(Movements!$D$5:$D$304,Movements!$C$5:$C$304,$A63,Movements!$B$5:$B$304,"Sell"))</f>
        <v/>
      </c>
      <c r="H63" s="5" t="str">
        <f aca="false">IF($A63="","",SUMIFS(Recipes!$H$5:$H$104,Recipes!$C$5:$C$104,$A63,Recipes!$B$5:$B$104,"B"))</f>
        <v/>
      </c>
      <c r="I63" s="5" t="str">
        <f aca="false">IF($A63="","",SUMIFS(Recipes!$H$5:$H$104,Recipes!$C$5:$C$104,$A63,Recipes!$B$5:$B$104,"C"))</f>
        <v/>
      </c>
      <c r="J63" s="5" t="str">
        <f aca="false">IF($A63="","",SUMIFS(Movements!$D$5:$D$304,Movements!$C$5:$C$304,$A63,Movements!$B$5:$B$304,"Adjust"))</f>
        <v/>
      </c>
      <c r="K63" s="5" t="str">
        <f aca="false">IF($A63="","",$E63+$F63-$G63-$H63-$I63+$J63)</f>
        <v/>
      </c>
      <c r="L63" s="4"/>
    </row>
    <row r="64" customFormat="false" ht="15" hidden="false" customHeight="false" outlineLevel="0" collapsed="false">
      <c r="A64" s="4"/>
      <c r="B64" s="4"/>
      <c r="C64" s="4"/>
      <c r="D64" s="4"/>
      <c r="E64" s="4"/>
      <c r="F64" s="5" t="str">
        <f aca="false">IF($A64="","",SUMIFS(Movements!$D$5:$D$304,Movements!$C$5:$C$304,$A64,Movements!$B$5:$B$304,"Receive"))</f>
        <v/>
      </c>
      <c r="G64" s="5" t="str">
        <f aca="false">IF($A64="","",SUMIFS(Movements!$D$5:$D$304,Movements!$C$5:$C$304,$A64,Movements!$B$5:$B$304,"Sell"))</f>
        <v/>
      </c>
      <c r="H64" s="5" t="str">
        <f aca="false">IF($A64="","",SUMIFS(Recipes!$H$5:$H$104,Recipes!$C$5:$C$104,$A64,Recipes!$B$5:$B$104,"B"))</f>
        <v/>
      </c>
      <c r="I64" s="5" t="str">
        <f aca="false">IF($A64="","",SUMIFS(Recipes!$H$5:$H$104,Recipes!$C$5:$C$104,$A64,Recipes!$B$5:$B$104,"C"))</f>
        <v/>
      </c>
      <c r="J64" s="5" t="str">
        <f aca="false">IF($A64="","",SUMIFS(Movements!$D$5:$D$304,Movements!$C$5:$C$304,$A64,Movements!$B$5:$B$304,"Adjust"))</f>
        <v/>
      </c>
      <c r="K64" s="5" t="str">
        <f aca="false">IF($A64="","",$E64+$F64-$G64-$H64-$I64+$J64)</f>
        <v/>
      </c>
      <c r="L64" s="4"/>
    </row>
    <row r="65" customFormat="false" ht="15" hidden="false" customHeight="false" outlineLevel="0" collapsed="false">
      <c r="A65" s="4"/>
      <c r="B65" s="4"/>
      <c r="C65" s="4"/>
      <c r="D65" s="4"/>
      <c r="E65" s="4"/>
      <c r="F65" s="5" t="str">
        <f aca="false">IF($A65="","",SUMIFS(Movements!$D$5:$D$304,Movements!$C$5:$C$304,$A65,Movements!$B$5:$B$304,"Receive"))</f>
        <v/>
      </c>
      <c r="G65" s="5" t="str">
        <f aca="false">IF($A65="","",SUMIFS(Movements!$D$5:$D$304,Movements!$C$5:$C$304,$A65,Movements!$B$5:$B$304,"Sell"))</f>
        <v/>
      </c>
      <c r="H65" s="5" t="str">
        <f aca="false">IF($A65="","",SUMIFS(Recipes!$H$5:$H$104,Recipes!$C$5:$C$104,$A65,Recipes!$B$5:$B$104,"B"))</f>
        <v/>
      </c>
      <c r="I65" s="5" t="str">
        <f aca="false">IF($A65="","",SUMIFS(Recipes!$H$5:$H$104,Recipes!$C$5:$C$104,$A65,Recipes!$B$5:$B$104,"C"))</f>
        <v/>
      </c>
      <c r="J65" s="5" t="str">
        <f aca="false">IF($A65="","",SUMIFS(Movements!$D$5:$D$304,Movements!$C$5:$C$304,$A65,Movements!$B$5:$B$304,"Adjust"))</f>
        <v/>
      </c>
      <c r="K65" s="5" t="str">
        <f aca="false">IF($A65="","",$E65+$F65-$G65-$H65-$I65+$J65)</f>
        <v/>
      </c>
      <c r="L65" s="4"/>
    </row>
    <row r="66" customFormat="false" ht="15" hidden="false" customHeight="false" outlineLevel="0" collapsed="false">
      <c r="A66" s="4"/>
      <c r="B66" s="4"/>
      <c r="C66" s="4"/>
      <c r="D66" s="4"/>
      <c r="E66" s="4"/>
      <c r="F66" s="5" t="str">
        <f aca="false">IF($A66="","",SUMIFS(Movements!$D$5:$D$304,Movements!$C$5:$C$304,$A66,Movements!$B$5:$B$304,"Receive"))</f>
        <v/>
      </c>
      <c r="G66" s="5" t="str">
        <f aca="false">IF($A66="","",SUMIFS(Movements!$D$5:$D$304,Movements!$C$5:$C$304,$A66,Movements!$B$5:$B$304,"Sell"))</f>
        <v/>
      </c>
      <c r="H66" s="5" t="str">
        <f aca="false">IF($A66="","",SUMIFS(Recipes!$H$5:$H$104,Recipes!$C$5:$C$104,$A66,Recipes!$B$5:$B$104,"B"))</f>
        <v/>
      </c>
      <c r="I66" s="5" t="str">
        <f aca="false">IF($A66="","",SUMIFS(Recipes!$H$5:$H$104,Recipes!$C$5:$C$104,$A66,Recipes!$B$5:$B$104,"C"))</f>
        <v/>
      </c>
      <c r="J66" s="5" t="str">
        <f aca="false">IF($A66="","",SUMIFS(Movements!$D$5:$D$304,Movements!$C$5:$C$304,$A66,Movements!$B$5:$B$304,"Adjust"))</f>
        <v/>
      </c>
      <c r="K66" s="5" t="str">
        <f aca="false">IF($A66="","",$E66+$F66-$G66-$H66-$I66+$J66)</f>
        <v/>
      </c>
      <c r="L66" s="4"/>
    </row>
    <row r="67" customFormat="false" ht="15" hidden="false" customHeight="false" outlineLevel="0" collapsed="false">
      <c r="A67" s="4"/>
      <c r="B67" s="4"/>
      <c r="C67" s="4"/>
      <c r="D67" s="4"/>
      <c r="E67" s="4"/>
      <c r="F67" s="5" t="str">
        <f aca="false">IF($A67="","",SUMIFS(Movements!$D$5:$D$304,Movements!$C$5:$C$304,$A67,Movements!$B$5:$B$304,"Receive"))</f>
        <v/>
      </c>
      <c r="G67" s="5" t="str">
        <f aca="false">IF($A67="","",SUMIFS(Movements!$D$5:$D$304,Movements!$C$5:$C$304,$A67,Movements!$B$5:$B$304,"Sell"))</f>
        <v/>
      </c>
      <c r="H67" s="5" t="str">
        <f aca="false">IF($A67="","",SUMIFS(Recipes!$H$5:$H$104,Recipes!$C$5:$C$104,$A67,Recipes!$B$5:$B$104,"B"))</f>
        <v/>
      </c>
      <c r="I67" s="5" t="str">
        <f aca="false">IF($A67="","",SUMIFS(Recipes!$H$5:$H$104,Recipes!$C$5:$C$104,$A67,Recipes!$B$5:$B$104,"C"))</f>
        <v/>
      </c>
      <c r="J67" s="5" t="str">
        <f aca="false">IF($A67="","",SUMIFS(Movements!$D$5:$D$304,Movements!$C$5:$C$304,$A67,Movements!$B$5:$B$304,"Adjust"))</f>
        <v/>
      </c>
      <c r="K67" s="5" t="str">
        <f aca="false">IF($A67="","",$E67+$F67-$G67-$H67-$I67+$J67)</f>
        <v/>
      </c>
      <c r="L67" s="4"/>
    </row>
    <row r="68" customFormat="false" ht="15" hidden="false" customHeight="false" outlineLevel="0" collapsed="false">
      <c r="A68" s="4"/>
      <c r="B68" s="4"/>
      <c r="C68" s="4"/>
      <c r="D68" s="4"/>
      <c r="E68" s="4"/>
      <c r="F68" s="5" t="str">
        <f aca="false">IF($A68="","",SUMIFS(Movements!$D$5:$D$304,Movements!$C$5:$C$304,$A68,Movements!$B$5:$B$304,"Receive"))</f>
        <v/>
      </c>
      <c r="G68" s="5" t="str">
        <f aca="false">IF($A68="","",SUMIFS(Movements!$D$5:$D$304,Movements!$C$5:$C$304,$A68,Movements!$B$5:$B$304,"Sell"))</f>
        <v/>
      </c>
      <c r="H68" s="5" t="str">
        <f aca="false">IF($A68="","",SUMIFS(Recipes!$H$5:$H$104,Recipes!$C$5:$C$104,$A68,Recipes!$B$5:$B$104,"B"))</f>
        <v/>
      </c>
      <c r="I68" s="5" t="str">
        <f aca="false">IF($A68="","",SUMIFS(Recipes!$H$5:$H$104,Recipes!$C$5:$C$104,$A68,Recipes!$B$5:$B$104,"C"))</f>
        <v/>
      </c>
      <c r="J68" s="5" t="str">
        <f aca="false">IF($A68="","",SUMIFS(Movements!$D$5:$D$304,Movements!$C$5:$C$304,$A68,Movements!$B$5:$B$304,"Adjust"))</f>
        <v/>
      </c>
      <c r="K68" s="5" t="str">
        <f aca="false">IF($A68="","",$E68+$F68-$G68-$H68-$I68+$J68)</f>
        <v/>
      </c>
      <c r="L68" s="4"/>
    </row>
    <row r="69" customFormat="false" ht="15" hidden="false" customHeight="false" outlineLevel="0" collapsed="false">
      <c r="A69" s="4"/>
      <c r="B69" s="4"/>
      <c r="C69" s="4"/>
      <c r="D69" s="4"/>
      <c r="E69" s="4"/>
      <c r="F69" s="5" t="str">
        <f aca="false">IF($A69="","",SUMIFS(Movements!$D$5:$D$304,Movements!$C$5:$C$304,$A69,Movements!$B$5:$B$304,"Receive"))</f>
        <v/>
      </c>
      <c r="G69" s="5" t="str">
        <f aca="false">IF($A69="","",SUMIFS(Movements!$D$5:$D$304,Movements!$C$5:$C$304,$A69,Movements!$B$5:$B$304,"Sell"))</f>
        <v/>
      </c>
      <c r="H69" s="5" t="str">
        <f aca="false">IF($A69="","",SUMIFS(Recipes!$H$5:$H$104,Recipes!$C$5:$C$104,$A69,Recipes!$B$5:$B$104,"B"))</f>
        <v/>
      </c>
      <c r="I69" s="5" t="str">
        <f aca="false">IF($A69="","",SUMIFS(Recipes!$H$5:$H$104,Recipes!$C$5:$C$104,$A69,Recipes!$B$5:$B$104,"C"))</f>
        <v/>
      </c>
      <c r="J69" s="5" t="str">
        <f aca="false">IF($A69="","",SUMIFS(Movements!$D$5:$D$304,Movements!$C$5:$C$304,$A69,Movements!$B$5:$B$304,"Adjust"))</f>
        <v/>
      </c>
      <c r="K69" s="5" t="str">
        <f aca="false">IF($A69="","",$E69+$F69-$G69-$H69-$I69+$J69)</f>
        <v/>
      </c>
      <c r="L69" s="4"/>
    </row>
    <row r="70" customFormat="false" ht="15" hidden="false" customHeight="false" outlineLevel="0" collapsed="false">
      <c r="A70" s="4"/>
      <c r="B70" s="4"/>
      <c r="C70" s="4"/>
      <c r="D70" s="4"/>
      <c r="E70" s="4"/>
      <c r="F70" s="5" t="str">
        <f aca="false">IF($A70="","",SUMIFS(Movements!$D$5:$D$304,Movements!$C$5:$C$304,$A70,Movements!$B$5:$B$304,"Receive"))</f>
        <v/>
      </c>
      <c r="G70" s="5" t="str">
        <f aca="false">IF($A70="","",SUMIFS(Movements!$D$5:$D$304,Movements!$C$5:$C$304,$A70,Movements!$B$5:$B$304,"Sell"))</f>
        <v/>
      </c>
      <c r="H70" s="5" t="str">
        <f aca="false">IF($A70="","",SUMIFS(Recipes!$H$5:$H$104,Recipes!$C$5:$C$104,$A70,Recipes!$B$5:$B$104,"B"))</f>
        <v/>
      </c>
      <c r="I70" s="5" t="str">
        <f aca="false">IF($A70="","",SUMIFS(Recipes!$H$5:$H$104,Recipes!$C$5:$C$104,$A70,Recipes!$B$5:$B$104,"C"))</f>
        <v/>
      </c>
      <c r="J70" s="5" t="str">
        <f aca="false">IF($A70="","",SUMIFS(Movements!$D$5:$D$304,Movements!$C$5:$C$304,$A70,Movements!$B$5:$B$304,"Adjust"))</f>
        <v/>
      </c>
      <c r="K70" s="5" t="str">
        <f aca="false">IF($A70="","",$E70+$F70-$G70-$H70-$I70+$J70)</f>
        <v/>
      </c>
      <c r="L70" s="4"/>
    </row>
    <row r="71" customFormat="false" ht="15" hidden="false" customHeight="false" outlineLevel="0" collapsed="false">
      <c r="A71" s="4"/>
      <c r="B71" s="4"/>
      <c r="C71" s="4"/>
      <c r="D71" s="4"/>
      <c r="E71" s="4"/>
      <c r="F71" s="5" t="str">
        <f aca="false">IF($A71="","",SUMIFS(Movements!$D$5:$D$304,Movements!$C$5:$C$304,$A71,Movements!$B$5:$B$304,"Receive"))</f>
        <v/>
      </c>
      <c r="G71" s="5" t="str">
        <f aca="false">IF($A71="","",SUMIFS(Movements!$D$5:$D$304,Movements!$C$5:$C$304,$A71,Movements!$B$5:$B$304,"Sell"))</f>
        <v/>
      </c>
      <c r="H71" s="5" t="str">
        <f aca="false">IF($A71="","",SUMIFS(Recipes!$H$5:$H$104,Recipes!$C$5:$C$104,$A71,Recipes!$B$5:$B$104,"B"))</f>
        <v/>
      </c>
      <c r="I71" s="5" t="str">
        <f aca="false">IF($A71="","",SUMIFS(Recipes!$H$5:$H$104,Recipes!$C$5:$C$104,$A71,Recipes!$B$5:$B$104,"C"))</f>
        <v/>
      </c>
      <c r="J71" s="5" t="str">
        <f aca="false">IF($A71="","",SUMIFS(Movements!$D$5:$D$304,Movements!$C$5:$C$304,$A71,Movements!$B$5:$B$304,"Adjust"))</f>
        <v/>
      </c>
      <c r="K71" s="5" t="str">
        <f aca="false">IF($A71="","",$E71+$F71-$G71-$H71-$I71+$J71)</f>
        <v/>
      </c>
      <c r="L71" s="4"/>
    </row>
    <row r="72" customFormat="false" ht="15" hidden="false" customHeight="false" outlineLevel="0" collapsed="false">
      <c r="A72" s="4"/>
      <c r="B72" s="4"/>
      <c r="C72" s="4"/>
      <c r="D72" s="4"/>
      <c r="E72" s="4"/>
      <c r="F72" s="5" t="str">
        <f aca="false">IF($A72="","",SUMIFS(Movements!$D$5:$D$304,Movements!$C$5:$C$304,$A72,Movements!$B$5:$B$304,"Receive"))</f>
        <v/>
      </c>
      <c r="G72" s="5" t="str">
        <f aca="false">IF($A72="","",SUMIFS(Movements!$D$5:$D$304,Movements!$C$5:$C$304,$A72,Movements!$B$5:$B$304,"Sell"))</f>
        <v/>
      </c>
      <c r="H72" s="5" t="str">
        <f aca="false">IF($A72="","",SUMIFS(Recipes!$H$5:$H$104,Recipes!$C$5:$C$104,$A72,Recipes!$B$5:$B$104,"B"))</f>
        <v/>
      </c>
      <c r="I72" s="5" t="str">
        <f aca="false">IF($A72="","",SUMIFS(Recipes!$H$5:$H$104,Recipes!$C$5:$C$104,$A72,Recipes!$B$5:$B$104,"C"))</f>
        <v/>
      </c>
      <c r="J72" s="5" t="str">
        <f aca="false">IF($A72="","",SUMIFS(Movements!$D$5:$D$304,Movements!$C$5:$C$304,$A72,Movements!$B$5:$B$304,"Adjust"))</f>
        <v/>
      </c>
      <c r="K72" s="5" t="str">
        <f aca="false">IF($A72="","",$E72+$F72-$G72-$H72-$I72+$J72)</f>
        <v/>
      </c>
      <c r="L72" s="4"/>
    </row>
    <row r="73" customFormat="false" ht="15" hidden="false" customHeight="false" outlineLevel="0" collapsed="false">
      <c r="A73" s="4"/>
      <c r="B73" s="4"/>
      <c r="C73" s="4"/>
      <c r="D73" s="4"/>
      <c r="E73" s="4"/>
      <c r="F73" s="5" t="str">
        <f aca="false">IF($A73="","",SUMIFS(Movements!$D$5:$D$304,Movements!$C$5:$C$304,$A73,Movements!$B$5:$B$304,"Receive"))</f>
        <v/>
      </c>
      <c r="G73" s="5" t="str">
        <f aca="false">IF($A73="","",SUMIFS(Movements!$D$5:$D$304,Movements!$C$5:$C$304,$A73,Movements!$B$5:$B$304,"Sell"))</f>
        <v/>
      </c>
      <c r="H73" s="5" t="str">
        <f aca="false">IF($A73="","",SUMIFS(Recipes!$H$5:$H$104,Recipes!$C$5:$C$104,$A73,Recipes!$B$5:$B$104,"B"))</f>
        <v/>
      </c>
      <c r="I73" s="5" t="str">
        <f aca="false">IF($A73="","",SUMIFS(Recipes!$H$5:$H$104,Recipes!$C$5:$C$104,$A73,Recipes!$B$5:$B$104,"C"))</f>
        <v/>
      </c>
      <c r="J73" s="5" t="str">
        <f aca="false">IF($A73="","",SUMIFS(Movements!$D$5:$D$304,Movements!$C$5:$C$304,$A73,Movements!$B$5:$B$304,"Adjust"))</f>
        <v/>
      </c>
      <c r="K73" s="5" t="str">
        <f aca="false">IF($A73="","",$E73+$F73-$G73-$H73-$I73+$J73)</f>
        <v/>
      </c>
      <c r="L73" s="4"/>
    </row>
    <row r="74" customFormat="false" ht="15" hidden="false" customHeight="false" outlineLevel="0" collapsed="false">
      <c r="A74" s="4"/>
      <c r="B74" s="4"/>
      <c r="C74" s="4"/>
      <c r="D74" s="4"/>
      <c r="E74" s="4"/>
      <c r="F74" s="5" t="str">
        <f aca="false">IF($A74="","",SUMIFS(Movements!$D$5:$D$304,Movements!$C$5:$C$304,$A74,Movements!$B$5:$B$304,"Receive"))</f>
        <v/>
      </c>
      <c r="G74" s="5" t="str">
        <f aca="false">IF($A74="","",SUMIFS(Movements!$D$5:$D$304,Movements!$C$5:$C$304,$A74,Movements!$B$5:$B$304,"Sell"))</f>
        <v/>
      </c>
      <c r="H74" s="5" t="str">
        <f aca="false">IF($A74="","",SUMIFS(Recipes!$H$5:$H$104,Recipes!$C$5:$C$104,$A74,Recipes!$B$5:$B$104,"B"))</f>
        <v/>
      </c>
      <c r="I74" s="5" t="str">
        <f aca="false">IF($A74="","",SUMIFS(Recipes!$H$5:$H$104,Recipes!$C$5:$C$104,$A74,Recipes!$B$5:$B$104,"C"))</f>
        <v/>
      </c>
      <c r="J74" s="5" t="str">
        <f aca="false">IF($A74="","",SUMIFS(Movements!$D$5:$D$304,Movements!$C$5:$C$304,$A74,Movements!$B$5:$B$304,"Adjust"))</f>
        <v/>
      </c>
      <c r="K74" s="5" t="str">
        <f aca="false">IF($A74="","",$E74+$F74-$G74-$H74-$I74+$J74)</f>
        <v/>
      </c>
      <c r="L74" s="4"/>
    </row>
    <row r="75" customFormat="false" ht="15" hidden="false" customHeight="false" outlineLevel="0" collapsed="false">
      <c r="A75" s="4"/>
      <c r="B75" s="4"/>
      <c r="C75" s="4"/>
      <c r="D75" s="4"/>
      <c r="E75" s="4"/>
      <c r="F75" s="5" t="str">
        <f aca="false">IF($A75="","",SUMIFS(Movements!$D$5:$D$304,Movements!$C$5:$C$304,$A75,Movements!$B$5:$B$304,"Receive"))</f>
        <v/>
      </c>
      <c r="G75" s="5" t="str">
        <f aca="false">IF($A75="","",SUMIFS(Movements!$D$5:$D$304,Movements!$C$5:$C$304,$A75,Movements!$B$5:$B$304,"Sell"))</f>
        <v/>
      </c>
      <c r="H75" s="5" t="str">
        <f aca="false">IF($A75="","",SUMIFS(Recipes!$H$5:$H$104,Recipes!$C$5:$C$104,$A75,Recipes!$B$5:$B$104,"B"))</f>
        <v/>
      </c>
      <c r="I75" s="5" t="str">
        <f aca="false">IF($A75="","",SUMIFS(Recipes!$H$5:$H$104,Recipes!$C$5:$C$104,$A75,Recipes!$B$5:$B$104,"C"))</f>
        <v/>
      </c>
      <c r="J75" s="5" t="str">
        <f aca="false">IF($A75="","",SUMIFS(Movements!$D$5:$D$304,Movements!$C$5:$C$304,$A75,Movements!$B$5:$B$304,"Adjust"))</f>
        <v/>
      </c>
      <c r="K75" s="5" t="str">
        <f aca="false">IF($A75="","",$E75+$F75-$G75-$H75-$I75+$J75)</f>
        <v/>
      </c>
      <c r="L75" s="4"/>
    </row>
    <row r="76" customFormat="false" ht="15" hidden="false" customHeight="false" outlineLevel="0" collapsed="false">
      <c r="A76" s="4"/>
      <c r="B76" s="4"/>
      <c r="C76" s="4"/>
      <c r="D76" s="4"/>
      <c r="E76" s="4"/>
      <c r="F76" s="5" t="str">
        <f aca="false">IF($A76="","",SUMIFS(Movements!$D$5:$D$304,Movements!$C$5:$C$304,$A76,Movements!$B$5:$B$304,"Receive"))</f>
        <v/>
      </c>
      <c r="G76" s="5" t="str">
        <f aca="false">IF($A76="","",SUMIFS(Movements!$D$5:$D$304,Movements!$C$5:$C$304,$A76,Movements!$B$5:$B$304,"Sell"))</f>
        <v/>
      </c>
      <c r="H76" s="5" t="str">
        <f aca="false">IF($A76="","",SUMIFS(Recipes!$H$5:$H$104,Recipes!$C$5:$C$104,$A76,Recipes!$B$5:$B$104,"B"))</f>
        <v/>
      </c>
      <c r="I76" s="5" t="str">
        <f aca="false">IF($A76="","",SUMIFS(Recipes!$H$5:$H$104,Recipes!$C$5:$C$104,$A76,Recipes!$B$5:$B$104,"C"))</f>
        <v/>
      </c>
      <c r="J76" s="5" t="str">
        <f aca="false">IF($A76="","",SUMIFS(Movements!$D$5:$D$304,Movements!$C$5:$C$304,$A76,Movements!$B$5:$B$304,"Adjust"))</f>
        <v/>
      </c>
      <c r="K76" s="5" t="str">
        <f aca="false">IF($A76="","",$E76+$F76-$G76-$H76-$I76+$J76)</f>
        <v/>
      </c>
      <c r="L76" s="4"/>
    </row>
    <row r="77" customFormat="false" ht="15" hidden="false" customHeight="false" outlineLevel="0" collapsed="false">
      <c r="A77" s="4"/>
      <c r="B77" s="4"/>
      <c r="C77" s="4"/>
      <c r="D77" s="4"/>
      <c r="E77" s="4"/>
      <c r="F77" s="5" t="str">
        <f aca="false">IF($A77="","",SUMIFS(Movements!$D$5:$D$304,Movements!$C$5:$C$304,$A77,Movements!$B$5:$B$304,"Receive"))</f>
        <v/>
      </c>
      <c r="G77" s="5" t="str">
        <f aca="false">IF($A77="","",SUMIFS(Movements!$D$5:$D$304,Movements!$C$5:$C$304,$A77,Movements!$B$5:$B$304,"Sell"))</f>
        <v/>
      </c>
      <c r="H77" s="5" t="str">
        <f aca="false">IF($A77="","",SUMIFS(Recipes!$H$5:$H$104,Recipes!$C$5:$C$104,$A77,Recipes!$B$5:$B$104,"B"))</f>
        <v/>
      </c>
      <c r="I77" s="5" t="str">
        <f aca="false">IF($A77="","",SUMIFS(Recipes!$H$5:$H$104,Recipes!$C$5:$C$104,$A77,Recipes!$B$5:$B$104,"C"))</f>
        <v/>
      </c>
      <c r="J77" s="5" t="str">
        <f aca="false">IF($A77="","",SUMIFS(Movements!$D$5:$D$304,Movements!$C$5:$C$304,$A77,Movements!$B$5:$B$304,"Adjust"))</f>
        <v/>
      </c>
      <c r="K77" s="5" t="str">
        <f aca="false">IF($A77="","",$E77+$F77-$G77-$H77-$I77+$J77)</f>
        <v/>
      </c>
      <c r="L77" s="4"/>
    </row>
    <row r="78" customFormat="false" ht="15" hidden="false" customHeight="false" outlineLevel="0" collapsed="false">
      <c r="A78" s="4"/>
      <c r="B78" s="4"/>
      <c r="C78" s="4"/>
      <c r="D78" s="4"/>
      <c r="E78" s="4"/>
      <c r="F78" s="5" t="str">
        <f aca="false">IF($A78="","",SUMIFS(Movements!$D$5:$D$304,Movements!$C$5:$C$304,$A78,Movements!$B$5:$B$304,"Receive"))</f>
        <v/>
      </c>
      <c r="G78" s="5" t="str">
        <f aca="false">IF($A78="","",SUMIFS(Movements!$D$5:$D$304,Movements!$C$5:$C$304,$A78,Movements!$B$5:$B$304,"Sell"))</f>
        <v/>
      </c>
      <c r="H78" s="5" t="str">
        <f aca="false">IF($A78="","",SUMIFS(Recipes!$H$5:$H$104,Recipes!$C$5:$C$104,$A78,Recipes!$B$5:$B$104,"B"))</f>
        <v/>
      </c>
      <c r="I78" s="5" t="str">
        <f aca="false">IF($A78="","",SUMIFS(Recipes!$H$5:$H$104,Recipes!$C$5:$C$104,$A78,Recipes!$B$5:$B$104,"C"))</f>
        <v/>
      </c>
      <c r="J78" s="5" t="str">
        <f aca="false">IF($A78="","",SUMIFS(Movements!$D$5:$D$304,Movements!$C$5:$C$304,$A78,Movements!$B$5:$B$304,"Adjust"))</f>
        <v/>
      </c>
      <c r="K78" s="5" t="str">
        <f aca="false">IF($A78="","",$E78+$F78-$G78-$H78-$I78+$J78)</f>
        <v/>
      </c>
      <c r="L78" s="4"/>
    </row>
    <row r="79" customFormat="false" ht="15" hidden="false" customHeight="false" outlineLevel="0" collapsed="false">
      <c r="A79" s="4"/>
      <c r="B79" s="4"/>
      <c r="C79" s="4"/>
      <c r="D79" s="4"/>
      <c r="E79" s="4"/>
      <c r="F79" s="5" t="str">
        <f aca="false">IF($A79="","",SUMIFS(Movements!$D$5:$D$304,Movements!$C$5:$C$304,$A79,Movements!$B$5:$B$304,"Receive"))</f>
        <v/>
      </c>
      <c r="G79" s="5" t="str">
        <f aca="false">IF($A79="","",SUMIFS(Movements!$D$5:$D$304,Movements!$C$5:$C$304,$A79,Movements!$B$5:$B$304,"Sell"))</f>
        <v/>
      </c>
      <c r="H79" s="5" t="str">
        <f aca="false">IF($A79="","",SUMIFS(Recipes!$H$5:$H$104,Recipes!$C$5:$C$104,$A79,Recipes!$B$5:$B$104,"B"))</f>
        <v/>
      </c>
      <c r="I79" s="5" t="str">
        <f aca="false">IF($A79="","",SUMIFS(Recipes!$H$5:$H$104,Recipes!$C$5:$C$104,$A79,Recipes!$B$5:$B$104,"C"))</f>
        <v/>
      </c>
      <c r="J79" s="5" t="str">
        <f aca="false">IF($A79="","",SUMIFS(Movements!$D$5:$D$304,Movements!$C$5:$C$304,$A79,Movements!$B$5:$B$304,"Adjust"))</f>
        <v/>
      </c>
      <c r="K79" s="5" t="str">
        <f aca="false">IF($A79="","",$E79+$F79-$G79-$H79-$I79+$J79)</f>
        <v/>
      </c>
      <c r="L79" s="4"/>
    </row>
    <row r="80" customFormat="false" ht="15" hidden="false" customHeight="false" outlineLevel="0" collapsed="false">
      <c r="A80" s="4"/>
      <c r="B80" s="4"/>
      <c r="C80" s="4"/>
      <c r="D80" s="4"/>
      <c r="E80" s="4"/>
      <c r="F80" s="5" t="str">
        <f aca="false">IF($A80="","",SUMIFS(Movements!$D$5:$D$304,Movements!$C$5:$C$304,$A80,Movements!$B$5:$B$304,"Receive"))</f>
        <v/>
      </c>
      <c r="G80" s="5" t="str">
        <f aca="false">IF($A80="","",SUMIFS(Movements!$D$5:$D$304,Movements!$C$5:$C$304,$A80,Movements!$B$5:$B$304,"Sell"))</f>
        <v/>
      </c>
      <c r="H80" s="5" t="str">
        <f aca="false">IF($A80="","",SUMIFS(Recipes!$H$5:$H$104,Recipes!$C$5:$C$104,$A80,Recipes!$B$5:$B$104,"B"))</f>
        <v/>
      </c>
      <c r="I80" s="5" t="str">
        <f aca="false">IF($A80="","",SUMIFS(Recipes!$H$5:$H$104,Recipes!$C$5:$C$104,$A80,Recipes!$B$5:$B$104,"C"))</f>
        <v/>
      </c>
      <c r="J80" s="5" t="str">
        <f aca="false">IF($A80="","",SUMIFS(Movements!$D$5:$D$304,Movements!$C$5:$C$304,$A80,Movements!$B$5:$B$304,"Adjust"))</f>
        <v/>
      </c>
      <c r="K80" s="5" t="str">
        <f aca="false">IF($A80="","",$E80+$F80-$G80-$H80-$I80+$J80)</f>
        <v/>
      </c>
      <c r="L80" s="4"/>
    </row>
    <row r="81" customFormat="false" ht="15" hidden="false" customHeight="false" outlineLevel="0" collapsed="false">
      <c r="A81" s="4"/>
      <c r="B81" s="4"/>
      <c r="C81" s="4"/>
      <c r="D81" s="4"/>
      <c r="E81" s="4"/>
      <c r="F81" s="5" t="str">
        <f aca="false">IF($A81="","",SUMIFS(Movements!$D$5:$D$304,Movements!$C$5:$C$304,$A81,Movements!$B$5:$B$304,"Receive"))</f>
        <v/>
      </c>
      <c r="G81" s="5" t="str">
        <f aca="false">IF($A81="","",SUMIFS(Movements!$D$5:$D$304,Movements!$C$5:$C$304,$A81,Movements!$B$5:$B$304,"Sell"))</f>
        <v/>
      </c>
      <c r="H81" s="5" t="str">
        <f aca="false">IF($A81="","",SUMIFS(Recipes!$H$5:$H$104,Recipes!$C$5:$C$104,$A81,Recipes!$B$5:$B$104,"B"))</f>
        <v/>
      </c>
      <c r="I81" s="5" t="str">
        <f aca="false">IF($A81="","",SUMIFS(Recipes!$H$5:$H$104,Recipes!$C$5:$C$104,$A81,Recipes!$B$5:$B$104,"C"))</f>
        <v/>
      </c>
      <c r="J81" s="5" t="str">
        <f aca="false">IF($A81="","",SUMIFS(Movements!$D$5:$D$304,Movements!$C$5:$C$304,$A81,Movements!$B$5:$B$304,"Adjust"))</f>
        <v/>
      </c>
      <c r="K81" s="5" t="str">
        <f aca="false">IF($A81="","",$E81+$F81-$G81-$H81-$I81+$J81)</f>
        <v/>
      </c>
      <c r="L81" s="4"/>
    </row>
    <row r="82" customFormat="false" ht="15" hidden="false" customHeight="false" outlineLevel="0" collapsed="false">
      <c r="A82" s="4"/>
      <c r="B82" s="4"/>
      <c r="C82" s="4"/>
      <c r="D82" s="4"/>
      <c r="E82" s="4"/>
      <c r="F82" s="5" t="str">
        <f aca="false">IF($A82="","",SUMIFS(Movements!$D$5:$D$304,Movements!$C$5:$C$304,$A82,Movements!$B$5:$B$304,"Receive"))</f>
        <v/>
      </c>
      <c r="G82" s="5" t="str">
        <f aca="false">IF($A82="","",SUMIFS(Movements!$D$5:$D$304,Movements!$C$5:$C$304,$A82,Movements!$B$5:$B$304,"Sell"))</f>
        <v/>
      </c>
      <c r="H82" s="5" t="str">
        <f aca="false">IF($A82="","",SUMIFS(Recipes!$H$5:$H$104,Recipes!$C$5:$C$104,$A82,Recipes!$B$5:$B$104,"B"))</f>
        <v/>
      </c>
      <c r="I82" s="5" t="str">
        <f aca="false">IF($A82="","",SUMIFS(Recipes!$H$5:$H$104,Recipes!$C$5:$C$104,$A82,Recipes!$B$5:$B$104,"C"))</f>
        <v/>
      </c>
      <c r="J82" s="5" t="str">
        <f aca="false">IF($A82="","",SUMIFS(Movements!$D$5:$D$304,Movements!$C$5:$C$304,$A82,Movements!$B$5:$B$304,"Adjust"))</f>
        <v/>
      </c>
      <c r="K82" s="5" t="str">
        <f aca="false">IF($A82="","",$E82+$F82-$G82-$H82-$I82+$J82)</f>
        <v/>
      </c>
      <c r="L82" s="4"/>
    </row>
    <row r="83" customFormat="false" ht="15" hidden="false" customHeight="false" outlineLevel="0" collapsed="false">
      <c r="A83" s="4"/>
      <c r="B83" s="4"/>
      <c r="C83" s="4"/>
      <c r="D83" s="4"/>
      <c r="E83" s="4"/>
      <c r="F83" s="5" t="str">
        <f aca="false">IF($A83="","",SUMIFS(Movements!$D$5:$D$304,Movements!$C$5:$C$304,$A83,Movements!$B$5:$B$304,"Receive"))</f>
        <v/>
      </c>
      <c r="G83" s="5" t="str">
        <f aca="false">IF($A83="","",SUMIFS(Movements!$D$5:$D$304,Movements!$C$5:$C$304,$A83,Movements!$B$5:$B$304,"Sell"))</f>
        <v/>
      </c>
      <c r="H83" s="5" t="str">
        <f aca="false">IF($A83="","",SUMIFS(Recipes!$H$5:$H$104,Recipes!$C$5:$C$104,$A83,Recipes!$B$5:$B$104,"B"))</f>
        <v/>
      </c>
      <c r="I83" s="5" t="str">
        <f aca="false">IF($A83="","",SUMIFS(Recipes!$H$5:$H$104,Recipes!$C$5:$C$104,$A83,Recipes!$B$5:$B$104,"C"))</f>
        <v/>
      </c>
      <c r="J83" s="5" t="str">
        <f aca="false">IF($A83="","",SUMIFS(Movements!$D$5:$D$304,Movements!$C$5:$C$304,$A83,Movements!$B$5:$B$304,"Adjust"))</f>
        <v/>
      </c>
      <c r="K83" s="5" t="str">
        <f aca="false">IF($A83="","",$E83+$F83-$G83-$H83-$I83+$J83)</f>
        <v/>
      </c>
      <c r="L83" s="4"/>
    </row>
    <row r="84" customFormat="false" ht="15" hidden="false" customHeight="false" outlineLevel="0" collapsed="false">
      <c r="A84" s="4"/>
      <c r="B84" s="4"/>
      <c r="C84" s="4"/>
      <c r="D84" s="4"/>
      <c r="E84" s="4"/>
      <c r="F84" s="5" t="str">
        <f aca="false">IF($A84="","",SUMIFS(Movements!$D$5:$D$304,Movements!$C$5:$C$304,$A84,Movements!$B$5:$B$304,"Receive"))</f>
        <v/>
      </c>
      <c r="G84" s="5" t="str">
        <f aca="false">IF($A84="","",SUMIFS(Movements!$D$5:$D$304,Movements!$C$5:$C$304,$A84,Movements!$B$5:$B$304,"Sell"))</f>
        <v/>
      </c>
      <c r="H84" s="5" t="str">
        <f aca="false">IF($A84="","",SUMIFS(Recipes!$H$5:$H$104,Recipes!$C$5:$C$104,$A84,Recipes!$B$5:$B$104,"B"))</f>
        <v/>
      </c>
      <c r="I84" s="5" t="str">
        <f aca="false">IF($A84="","",SUMIFS(Recipes!$H$5:$H$104,Recipes!$C$5:$C$104,$A84,Recipes!$B$5:$B$104,"C"))</f>
        <v/>
      </c>
      <c r="J84" s="5" t="str">
        <f aca="false">IF($A84="","",SUMIFS(Movements!$D$5:$D$304,Movements!$C$5:$C$304,$A84,Movements!$B$5:$B$304,"Adjust"))</f>
        <v/>
      </c>
      <c r="K84" s="5" t="str">
        <f aca="false">IF($A84="","",$E84+$F84-$G84-$H84-$I84+$J84)</f>
        <v/>
      </c>
      <c r="L84" s="4"/>
    </row>
    <row r="85" customFormat="false" ht="15" hidden="false" customHeight="false" outlineLevel="0" collapsed="false">
      <c r="A85" s="4"/>
      <c r="B85" s="4"/>
      <c r="C85" s="4"/>
      <c r="D85" s="4"/>
      <c r="E85" s="4"/>
      <c r="F85" s="5" t="str">
        <f aca="false">IF($A85="","",SUMIFS(Movements!$D$5:$D$304,Movements!$C$5:$C$304,$A85,Movements!$B$5:$B$304,"Receive"))</f>
        <v/>
      </c>
      <c r="G85" s="5" t="str">
        <f aca="false">IF($A85="","",SUMIFS(Movements!$D$5:$D$304,Movements!$C$5:$C$304,$A85,Movements!$B$5:$B$304,"Sell"))</f>
        <v/>
      </c>
      <c r="H85" s="5" t="str">
        <f aca="false">IF($A85="","",SUMIFS(Recipes!$H$5:$H$104,Recipes!$C$5:$C$104,$A85,Recipes!$B$5:$B$104,"B"))</f>
        <v/>
      </c>
      <c r="I85" s="5" t="str">
        <f aca="false">IF($A85="","",SUMIFS(Recipes!$H$5:$H$104,Recipes!$C$5:$C$104,$A85,Recipes!$B$5:$B$104,"C"))</f>
        <v/>
      </c>
      <c r="J85" s="5" t="str">
        <f aca="false">IF($A85="","",SUMIFS(Movements!$D$5:$D$304,Movements!$C$5:$C$304,$A85,Movements!$B$5:$B$304,"Adjust"))</f>
        <v/>
      </c>
      <c r="K85" s="5" t="str">
        <f aca="false">IF($A85="","",$E85+$F85-$G85-$H85-$I85+$J85)</f>
        <v/>
      </c>
      <c r="L85" s="4"/>
    </row>
    <row r="86" customFormat="false" ht="15" hidden="false" customHeight="false" outlineLevel="0" collapsed="false">
      <c r="A86" s="4"/>
      <c r="B86" s="4"/>
      <c r="C86" s="4"/>
      <c r="D86" s="4"/>
      <c r="E86" s="4"/>
      <c r="F86" s="5" t="str">
        <f aca="false">IF($A86="","",SUMIFS(Movements!$D$5:$D$304,Movements!$C$5:$C$304,$A86,Movements!$B$5:$B$304,"Receive"))</f>
        <v/>
      </c>
      <c r="G86" s="5" t="str">
        <f aca="false">IF($A86="","",SUMIFS(Movements!$D$5:$D$304,Movements!$C$5:$C$304,$A86,Movements!$B$5:$B$304,"Sell"))</f>
        <v/>
      </c>
      <c r="H86" s="5" t="str">
        <f aca="false">IF($A86="","",SUMIFS(Recipes!$H$5:$H$104,Recipes!$C$5:$C$104,$A86,Recipes!$B$5:$B$104,"B"))</f>
        <v/>
      </c>
      <c r="I86" s="5" t="str">
        <f aca="false">IF($A86="","",SUMIFS(Recipes!$H$5:$H$104,Recipes!$C$5:$C$104,$A86,Recipes!$B$5:$B$104,"C"))</f>
        <v/>
      </c>
      <c r="J86" s="5" t="str">
        <f aca="false">IF($A86="","",SUMIFS(Movements!$D$5:$D$304,Movements!$C$5:$C$304,$A86,Movements!$B$5:$B$304,"Adjust"))</f>
        <v/>
      </c>
      <c r="K86" s="5" t="str">
        <f aca="false">IF($A86="","",$E86+$F86-$G86-$H86-$I86+$J86)</f>
        <v/>
      </c>
      <c r="L86" s="4"/>
    </row>
    <row r="87" customFormat="false" ht="15" hidden="false" customHeight="false" outlineLevel="0" collapsed="false">
      <c r="A87" s="4"/>
      <c r="B87" s="4"/>
      <c r="C87" s="4"/>
      <c r="D87" s="4"/>
      <c r="E87" s="4"/>
      <c r="F87" s="5" t="str">
        <f aca="false">IF($A87="","",SUMIFS(Movements!$D$5:$D$304,Movements!$C$5:$C$304,$A87,Movements!$B$5:$B$304,"Receive"))</f>
        <v/>
      </c>
      <c r="G87" s="5" t="str">
        <f aca="false">IF($A87="","",SUMIFS(Movements!$D$5:$D$304,Movements!$C$5:$C$304,$A87,Movements!$B$5:$B$304,"Sell"))</f>
        <v/>
      </c>
      <c r="H87" s="5" t="str">
        <f aca="false">IF($A87="","",SUMIFS(Recipes!$H$5:$H$104,Recipes!$C$5:$C$104,$A87,Recipes!$B$5:$B$104,"B"))</f>
        <v/>
      </c>
      <c r="I87" s="5" t="str">
        <f aca="false">IF($A87="","",SUMIFS(Recipes!$H$5:$H$104,Recipes!$C$5:$C$104,$A87,Recipes!$B$5:$B$104,"C"))</f>
        <v/>
      </c>
      <c r="J87" s="5" t="str">
        <f aca="false">IF($A87="","",SUMIFS(Movements!$D$5:$D$304,Movements!$C$5:$C$304,$A87,Movements!$B$5:$B$304,"Adjust"))</f>
        <v/>
      </c>
      <c r="K87" s="5" t="str">
        <f aca="false">IF($A87="","",$E87+$F87-$G87-$H87-$I87+$J87)</f>
        <v/>
      </c>
      <c r="L87" s="4"/>
    </row>
    <row r="88" customFormat="false" ht="15" hidden="false" customHeight="false" outlineLevel="0" collapsed="false">
      <c r="A88" s="4"/>
      <c r="B88" s="4"/>
      <c r="C88" s="4"/>
      <c r="D88" s="4"/>
      <c r="E88" s="4"/>
      <c r="F88" s="5" t="str">
        <f aca="false">IF($A88="","",SUMIFS(Movements!$D$5:$D$304,Movements!$C$5:$C$304,$A88,Movements!$B$5:$B$304,"Receive"))</f>
        <v/>
      </c>
      <c r="G88" s="5" t="str">
        <f aca="false">IF($A88="","",SUMIFS(Movements!$D$5:$D$304,Movements!$C$5:$C$304,$A88,Movements!$B$5:$B$304,"Sell"))</f>
        <v/>
      </c>
      <c r="H88" s="5" t="str">
        <f aca="false">IF($A88="","",SUMIFS(Recipes!$H$5:$H$104,Recipes!$C$5:$C$104,$A88,Recipes!$B$5:$B$104,"B"))</f>
        <v/>
      </c>
      <c r="I88" s="5" t="str">
        <f aca="false">IF($A88="","",SUMIFS(Recipes!$H$5:$H$104,Recipes!$C$5:$C$104,$A88,Recipes!$B$5:$B$104,"C"))</f>
        <v/>
      </c>
      <c r="J88" s="5" t="str">
        <f aca="false">IF($A88="","",SUMIFS(Movements!$D$5:$D$304,Movements!$C$5:$C$304,$A88,Movements!$B$5:$B$304,"Adjust"))</f>
        <v/>
      </c>
      <c r="K88" s="5" t="str">
        <f aca="false">IF($A88="","",$E88+$F88-$G88-$H88-$I88+$J88)</f>
        <v/>
      </c>
      <c r="L88" s="4"/>
    </row>
    <row r="89" customFormat="false" ht="15" hidden="false" customHeight="false" outlineLevel="0" collapsed="false">
      <c r="A89" s="4"/>
      <c r="B89" s="4"/>
      <c r="C89" s="4"/>
      <c r="D89" s="4"/>
      <c r="E89" s="4"/>
      <c r="F89" s="5" t="str">
        <f aca="false">IF($A89="","",SUMIFS(Movements!$D$5:$D$304,Movements!$C$5:$C$304,$A89,Movements!$B$5:$B$304,"Receive"))</f>
        <v/>
      </c>
      <c r="G89" s="5" t="str">
        <f aca="false">IF($A89="","",SUMIFS(Movements!$D$5:$D$304,Movements!$C$5:$C$304,$A89,Movements!$B$5:$B$304,"Sell"))</f>
        <v/>
      </c>
      <c r="H89" s="5" t="str">
        <f aca="false">IF($A89="","",SUMIFS(Recipes!$H$5:$H$104,Recipes!$C$5:$C$104,$A89,Recipes!$B$5:$B$104,"B"))</f>
        <v/>
      </c>
      <c r="I89" s="5" t="str">
        <f aca="false">IF($A89="","",SUMIFS(Recipes!$H$5:$H$104,Recipes!$C$5:$C$104,$A89,Recipes!$B$5:$B$104,"C"))</f>
        <v/>
      </c>
      <c r="J89" s="5" t="str">
        <f aca="false">IF($A89="","",SUMIFS(Movements!$D$5:$D$304,Movements!$C$5:$C$304,$A89,Movements!$B$5:$B$304,"Adjust"))</f>
        <v/>
      </c>
      <c r="K89" s="5" t="str">
        <f aca="false">IF($A89="","",$E89+$F89-$G89-$H89-$I89+$J89)</f>
        <v/>
      </c>
      <c r="L89" s="4"/>
    </row>
    <row r="90" customFormat="false" ht="15" hidden="false" customHeight="false" outlineLevel="0" collapsed="false">
      <c r="A90" s="4"/>
      <c r="B90" s="4"/>
      <c r="C90" s="4"/>
      <c r="D90" s="4"/>
      <c r="E90" s="4"/>
      <c r="F90" s="5" t="str">
        <f aca="false">IF($A90="","",SUMIFS(Movements!$D$5:$D$304,Movements!$C$5:$C$304,$A90,Movements!$B$5:$B$304,"Receive"))</f>
        <v/>
      </c>
      <c r="G90" s="5" t="str">
        <f aca="false">IF($A90="","",SUMIFS(Movements!$D$5:$D$304,Movements!$C$5:$C$304,$A90,Movements!$B$5:$B$304,"Sell"))</f>
        <v/>
      </c>
      <c r="H90" s="5" t="str">
        <f aca="false">IF($A90="","",SUMIFS(Recipes!$H$5:$H$104,Recipes!$C$5:$C$104,$A90,Recipes!$B$5:$B$104,"B"))</f>
        <v/>
      </c>
      <c r="I90" s="5" t="str">
        <f aca="false">IF($A90="","",SUMIFS(Recipes!$H$5:$H$104,Recipes!$C$5:$C$104,$A90,Recipes!$B$5:$B$104,"C"))</f>
        <v/>
      </c>
      <c r="J90" s="5" t="str">
        <f aca="false">IF($A90="","",SUMIFS(Movements!$D$5:$D$304,Movements!$C$5:$C$304,$A90,Movements!$B$5:$B$304,"Adjust"))</f>
        <v/>
      </c>
      <c r="K90" s="5" t="str">
        <f aca="false">IF($A90="","",$E90+$F90-$G90-$H90-$I90+$J90)</f>
        <v/>
      </c>
      <c r="L90" s="4"/>
    </row>
    <row r="91" customFormat="false" ht="15" hidden="false" customHeight="false" outlineLevel="0" collapsed="false">
      <c r="A91" s="4"/>
      <c r="B91" s="4"/>
      <c r="C91" s="4"/>
      <c r="D91" s="4"/>
      <c r="E91" s="4"/>
      <c r="F91" s="5" t="str">
        <f aca="false">IF($A91="","",SUMIFS(Movements!$D$5:$D$304,Movements!$C$5:$C$304,$A91,Movements!$B$5:$B$304,"Receive"))</f>
        <v/>
      </c>
      <c r="G91" s="5" t="str">
        <f aca="false">IF($A91="","",SUMIFS(Movements!$D$5:$D$304,Movements!$C$5:$C$304,$A91,Movements!$B$5:$B$304,"Sell"))</f>
        <v/>
      </c>
      <c r="H91" s="5" t="str">
        <f aca="false">IF($A91="","",SUMIFS(Recipes!$H$5:$H$104,Recipes!$C$5:$C$104,$A91,Recipes!$B$5:$B$104,"B"))</f>
        <v/>
      </c>
      <c r="I91" s="5" t="str">
        <f aca="false">IF($A91="","",SUMIFS(Recipes!$H$5:$H$104,Recipes!$C$5:$C$104,$A91,Recipes!$B$5:$B$104,"C"))</f>
        <v/>
      </c>
      <c r="J91" s="5" t="str">
        <f aca="false">IF($A91="","",SUMIFS(Movements!$D$5:$D$304,Movements!$C$5:$C$304,$A91,Movements!$B$5:$B$304,"Adjust"))</f>
        <v/>
      </c>
      <c r="K91" s="5" t="str">
        <f aca="false">IF($A91="","",$E91+$F91-$G91-$H91-$I91+$J91)</f>
        <v/>
      </c>
      <c r="L91" s="4"/>
    </row>
    <row r="92" customFormat="false" ht="15" hidden="false" customHeight="false" outlineLevel="0" collapsed="false">
      <c r="A92" s="4"/>
      <c r="B92" s="4"/>
      <c r="C92" s="4"/>
      <c r="D92" s="4"/>
      <c r="E92" s="4"/>
      <c r="F92" s="5" t="str">
        <f aca="false">IF($A92="","",SUMIFS(Movements!$D$5:$D$304,Movements!$C$5:$C$304,$A92,Movements!$B$5:$B$304,"Receive"))</f>
        <v/>
      </c>
      <c r="G92" s="5" t="str">
        <f aca="false">IF($A92="","",SUMIFS(Movements!$D$5:$D$304,Movements!$C$5:$C$304,$A92,Movements!$B$5:$B$304,"Sell"))</f>
        <v/>
      </c>
      <c r="H92" s="5" t="str">
        <f aca="false">IF($A92="","",SUMIFS(Recipes!$H$5:$H$104,Recipes!$C$5:$C$104,$A92,Recipes!$B$5:$B$104,"B"))</f>
        <v/>
      </c>
      <c r="I92" s="5" t="str">
        <f aca="false">IF($A92="","",SUMIFS(Recipes!$H$5:$H$104,Recipes!$C$5:$C$104,$A92,Recipes!$B$5:$B$104,"C"))</f>
        <v/>
      </c>
      <c r="J92" s="5" t="str">
        <f aca="false">IF($A92="","",SUMIFS(Movements!$D$5:$D$304,Movements!$C$5:$C$304,$A92,Movements!$B$5:$B$304,"Adjust"))</f>
        <v/>
      </c>
      <c r="K92" s="5" t="str">
        <f aca="false">IF($A92="","",$E92+$F92-$G92-$H92-$I92+$J92)</f>
        <v/>
      </c>
      <c r="L92" s="4"/>
    </row>
    <row r="93" customFormat="false" ht="15" hidden="false" customHeight="false" outlineLevel="0" collapsed="false">
      <c r="A93" s="4"/>
      <c r="B93" s="4"/>
      <c r="C93" s="4"/>
      <c r="D93" s="4"/>
      <c r="E93" s="4"/>
      <c r="F93" s="5" t="str">
        <f aca="false">IF($A93="","",SUMIFS(Movements!$D$5:$D$304,Movements!$C$5:$C$304,$A93,Movements!$B$5:$B$304,"Receive"))</f>
        <v/>
      </c>
      <c r="G93" s="5" t="str">
        <f aca="false">IF($A93="","",SUMIFS(Movements!$D$5:$D$304,Movements!$C$5:$C$304,$A93,Movements!$B$5:$B$304,"Sell"))</f>
        <v/>
      </c>
      <c r="H93" s="5" t="str">
        <f aca="false">IF($A93="","",SUMIFS(Recipes!$H$5:$H$104,Recipes!$C$5:$C$104,$A93,Recipes!$B$5:$B$104,"B"))</f>
        <v/>
      </c>
      <c r="I93" s="5" t="str">
        <f aca="false">IF($A93="","",SUMIFS(Recipes!$H$5:$H$104,Recipes!$C$5:$C$104,$A93,Recipes!$B$5:$B$104,"C"))</f>
        <v/>
      </c>
      <c r="J93" s="5" t="str">
        <f aca="false">IF($A93="","",SUMIFS(Movements!$D$5:$D$304,Movements!$C$5:$C$304,$A93,Movements!$B$5:$B$304,"Adjust"))</f>
        <v/>
      </c>
      <c r="K93" s="5" t="str">
        <f aca="false">IF($A93="","",$E93+$F93-$G93-$H93-$I93+$J93)</f>
        <v/>
      </c>
      <c r="L93" s="4"/>
    </row>
    <row r="94" customFormat="false" ht="15" hidden="false" customHeight="false" outlineLevel="0" collapsed="false">
      <c r="A94" s="4"/>
      <c r="B94" s="4"/>
      <c r="C94" s="4"/>
      <c r="D94" s="4"/>
      <c r="E94" s="4"/>
      <c r="F94" s="5" t="str">
        <f aca="false">IF($A94="","",SUMIFS(Movements!$D$5:$D$304,Movements!$C$5:$C$304,$A94,Movements!$B$5:$B$304,"Receive"))</f>
        <v/>
      </c>
      <c r="G94" s="5" t="str">
        <f aca="false">IF($A94="","",SUMIFS(Movements!$D$5:$D$304,Movements!$C$5:$C$304,$A94,Movements!$B$5:$B$304,"Sell"))</f>
        <v/>
      </c>
      <c r="H94" s="5" t="str">
        <f aca="false">IF($A94="","",SUMIFS(Recipes!$H$5:$H$104,Recipes!$C$5:$C$104,$A94,Recipes!$B$5:$B$104,"B"))</f>
        <v/>
      </c>
      <c r="I94" s="5" t="str">
        <f aca="false">IF($A94="","",SUMIFS(Recipes!$H$5:$H$104,Recipes!$C$5:$C$104,$A94,Recipes!$B$5:$B$104,"C"))</f>
        <v/>
      </c>
      <c r="J94" s="5" t="str">
        <f aca="false">IF($A94="","",SUMIFS(Movements!$D$5:$D$304,Movements!$C$5:$C$304,$A94,Movements!$B$5:$B$304,"Adjust"))</f>
        <v/>
      </c>
      <c r="K94" s="5" t="str">
        <f aca="false">IF($A94="","",$E94+$F94-$G94-$H94-$I94+$J94)</f>
        <v/>
      </c>
      <c r="L94" s="4"/>
    </row>
    <row r="95" customFormat="false" ht="15" hidden="false" customHeight="false" outlineLevel="0" collapsed="false">
      <c r="A95" s="4"/>
      <c r="B95" s="4"/>
      <c r="C95" s="4"/>
      <c r="D95" s="4"/>
      <c r="E95" s="4"/>
      <c r="F95" s="5" t="str">
        <f aca="false">IF($A95="","",SUMIFS(Movements!$D$5:$D$304,Movements!$C$5:$C$304,$A95,Movements!$B$5:$B$304,"Receive"))</f>
        <v/>
      </c>
      <c r="G95" s="5" t="str">
        <f aca="false">IF($A95="","",SUMIFS(Movements!$D$5:$D$304,Movements!$C$5:$C$304,$A95,Movements!$B$5:$B$304,"Sell"))</f>
        <v/>
      </c>
      <c r="H95" s="5" t="str">
        <f aca="false">IF($A95="","",SUMIFS(Recipes!$H$5:$H$104,Recipes!$C$5:$C$104,$A95,Recipes!$B$5:$B$104,"B"))</f>
        <v/>
      </c>
      <c r="I95" s="5" t="str">
        <f aca="false">IF($A95="","",SUMIFS(Recipes!$H$5:$H$104,Recipes!$C$5:$C$104,$A95,Recipes!$B$5:$B$104,"C"))</f>
        <v/>
      </c>
      <c r="J95" s="5" t="str">
        <f aca="false">IF($A95="","",SUMIFS(Movements!$D$5:$D$304,Movements!$C$5:$C$304,$A95,Movements!$B$5:$B$304,"Adjust"))</f>
        <v/>
      </c>
      <c r="K95" s="5" t="str">
        <f aca="false">IF($A95="","",$E95+$F95-$G95-$H95-$I95+$J95)</f>
        <v/>
      </c>
      <c r="L95" s="4"/>
    </row>
    <row r="96" customFormat="false" ht="15" hidden="false" customHeight="false" outlineLevel="0" collapsed="false">
      <c r="A96" s="4"/>
      <c r="B96" s="4"/>
      <c r="C96" s="4"/>
      <c r="D96" s="4"/>
      <c r="E96" s="4"/>
      <c r="F96" s="5" t="str">
        <f aca="false">IF($A96="","",SUMIFS(Movements!$D$5:$D$304,Movements!$C$5:$C$304,$A96,Movements!$B$5:$B$304,"Receive"))</f>
        <v/>
      </c>
      <c r="G96" s="5" t="str">
        <f aca="false">IF($A96="","",SUMIFS(Movements!$D$5:$D$304,Movements!$C$5:$C$304,$A96,Movements!$B$5:$B$304,"Sell"))</f>
        <v/>
      </c>
      <c r="H96" s="5" t="str">
        <f aca="false">IF($A96="","",SUMIFS(Recipes!$H$5:$H$104,Recipes!$C$5:$C$104,$A96,Recipes!$B$5:$B$104,"B"))</f>
        <v/>
      </c>
      <c r="I96" s="5" t="str">
        <f aca="false">IF($A96="","",SUMIFS(Recipes!$H$5:$H$104,Recipes!$C$5:$C$104,$A96,Recipes!$B$5:$B$104,"C"))</f>
        <v/>
      </c>
      <c r="J96" s="5" t="str">
        <f aca="false">IF($A96="","",SUMIFS(Movements!$D$5:$D$304,Movements!$C$5:$C$304,$A96,Movements!$B$5:$B$304,"Adjust"))</f>
        <v/>
      </c>
      <c r="K96" s="5" t="str">
        <f aca="false">IF($A96="","",$E96+$F96-$G96-$H96-$I96+$J96)</f>
        <v/>
      </c>
      <c r="L96" s="4"/>
    </row>
    <row r="97" customFormat="false" ht="15" hidden="false" customHeight="false" outlineLevel="0" collapsed="false">
      <c r="A97" s="4"/>
      <c r="B97" s="4"/>
      <c r="C97" s="4"/>
      <c r="D97" s="4"/>
      <c r="E97" s="4"/>
      <c r="F97" s="5" t="str">
        <f aca="false">IF($A97="","",SUMIFS(Movements!$D$5:$D$304,Movements!$C$5:$C$304,$A97,Movements!$B$5:$B$304,"Receive"))</f>
        <v/>
      </c>
      <c r="G97" s="5" t="str">
        <f aca="false">IF($A97="","",SUMIFS(Movements!$D$5:$D$304,Movements!$C$5:$C$304,$A97,Movements!$B$5:$B$304,"Sell"))</f>
        <v/>
      </c>
      <c r="H97" s="5" t="str">
        <f aca="false">IF($A97="","",SUMIFS(Recipes!$H$5:$H$104,Recipes!$C$5:$C$104,$A97,Recipes!$B$5:$B$104,"B"))</f>
        <v/>
      </c>
      <c r="I97" s="5" t="str">
        <f aca="false">IF($A97="","",SUMIFS(Recipes!$H$5:$H$104,Recipes!$C$5:$C$104,$A97,Recipes!$B$5:$B$104,"C"))</f>
        <v/>
      </c>
      <c r="J97" s="5" t="str">
        <f aca="false">IF($A97="","",SUMIFS(Movements!$D$5:$D$304,Movements!$C$5:$C$304,$A97,Movements!$B$5:$B$304,"Adjust"))</f>
        <v/>
      </c>
      <c r="K97" s="5" t="str">
        <f aca="false">IF($A97="","",$E97+$F97-$G97-$H97-$I97+$J97)</f>
        <v/>
      </c>
      <c r="L97" s="4"/>
    </row>
    <row r="98" customFormat="false" ht="15" hidden="false" customHeight="false" outlineLevel="0" collapsed="false">
      <c r="A98" s="4"/>
      <c r="B98" s="4"/>
      <c r="C98" s="4"/>
      <c r="D98" s="4"/>
      <c r="E98" s="4"/>
      <c r="F98" s="5" t="str">
        <f aca="false">IF($A98="","",SUMIFS(Movements!$D$5:$D$304,Movements!$C$5:$C$304,$A98,Movements!$B$5:$B$304,"Receive"))</f>
        <v/>
      </c>
      <c r="G98" s="5" t="str">
        <f aca="false">IF($A98="","",SUMIFS(Movements!$D$5:$D$304,Movements!$C$5:$C$304,$A98,Movements!$B$5:$B$304,"Sell"))</f>
        <v/>
      </c>
      <c r="H98" s="5" t="str">
        <f aca="false">IF($A98="","",SUMIFS(Recipes!$H$5:$H$104,Recipes!$C$5:$C$104,$A98,Recipes!$B$5:$B$104,"B"))</f>
        <v/>
      </c>
      <c r="I98" s="5" t="str">
        <f aca="false">IF($A98="","",SUMIFS(Recipes!$H$5:$H$104,Recipes!$C$5:$C$104,$A98,Recipes!$B$5:$B$104,"C"))</f>
        <v/>
      </c>
      <c r="J98" s="5" t="str">
        <f aca="false">IF($A98="","",SUMIFS(Movements!$D$5:$D$304,Movements!$C$5:$C$304,$A98,Movements!$B$5:$B$304,"Adjust"))</f>
        <v/>
      </c>
      <c r="K98" s="5" t="str">
        <f aca="false">IF($A98="","",$E98+$F98-$G98-$H98-$I98+$J98)</f>
        <v/>
      </c>
      <c r="L98" s="4"/>
    </row>
    <row r="99" customFormat="false" ht="15" hidden="false" customHeight="false" outlineLevel="0" collapsed="false">
      <c r="A99" s="4"/>
      <c r="B99" s="4"/>
      <c r="C99" s="4"/>
      <c r="D99" s="4"/>
      <c r="E99" s="4"/>
      <c r="F99" s="5" t="str">
        <f aca="false">IF($A99="","",SUMIFS(Movements!$D$5:$D$304,Movements!$C$5:$C$304,$A99,Movements!$B$5:$B$304,"Receive"))</f>
        <v/>
      </c>
      <c r="G99" s="5" t="str">
        <f aca="false">IF($A99="","",SUMIFS(Movements!$D$5:$D$304,Movements!$C$5:$C$304,$A99,Movements!$B$5:$B$304,"Sell"))</f>
        <v/>
      </c>
      <c r="H99" s="5" t="str">
        <f aca="false">IF($A99="","",SUMIFS(Recipes!$H$5:$H$104,Recipes!$C$5:$C$104,$A99,Recipes!$B$5:$B$104,"B"))</f>
        <v/>
      </c>
      <c r="I99" s="5" t="str">
        <f aca="false">IF($A99="","",SUMIFS(Recipes!$H$5:$H$104,Recipes!$C$5:$C$104,$A99,Recipes!$B$5:$B$104,"C"))</f>
        <v/>
      </c>
      <c r="J99" s="5" t="str">
        <f aca="false">IF($A99="","",SUMIFS(Movements!$D$5:$D$304,Movements!$C$5:$C$304,$A99,Movements!$B$5:$B$304,"Adjust"))</f>
        <v/>
      </c>
      <c r="K99" s="5" t="str">
        <f aca="false">IF($A99="","",$E99+$F99-$G99-$H99-$I99+$J99)</f>
        <v/>
      </c>
      <c r="L99" s="4"/>
    </row>
    <row r="100" customFormat="false" ht="15" hidden="false" customHeight="false" outlineLevel="0" collapsed="false">
      <c r="A100" s="4"/>
      <c r="B100" s="4"/>
      <c r="C100" s="4"/>
      <c r="D100" s="4"/>
      <c r="E100" s="4"/>
      <c r="F100" s="5" t="str">
        <f aca="false">IF($A100="","",SUMIFS(Movements!$D$5:$D$304,Movements!$C$5:$C$304,$A100,Movements!$B$5:$B$304,"Receive"))</f>
        <v/>
      </c>
      <c r="G100" s="5" t="str">
        <f aca="false">IF($A100="","",SUMIFS(Movements!$D$5:$D$304,Movements!$C$5:$C$304,$A100,Movements!$B$5:$B$304,"Sell"))</f>
        <v/>
      </c>
      <c r="H100" s="5" t="str">
        <f aca="false">IF($A100="","",SUMIFS(Recipes!$H$5:$H$104,Recipes!$C$5:$C$104,$A100,Recipes!$B$5:$B$104,"B"))</f>
        <v/>
      </c>
      <c r="I100" s="5" t="str">
        <f aca="false">IF($A100="","",SUMIFS(Recipes!$H$5:$H$104,Recipes!$C$5:$C$104,$A100,Recipes!$B$5:$B$104,"C"))</f>
        <v/>
      </c>
      <c r="J100" s="5" t="str">
        <f aca="false">IF($A100="","",SUMIFS(Movements!$D$5:$D$304,Movements!$C$5:$C$304,$A100,Movements!$B$5:$B$304,"Adjust"))</f>
        <v/>
      </c>
      <c r="K100" s="5" t="str">
        <f aca="false">IF($A100="","",$E100+$F100-$G100-$H100-$I100+$J100)</f>
        <v/>
      </c>
      <c r="L100" s="4"/>
    </row>
    <row r="101" customFormat="false" ht="15" hidden="false" customHeight="false" outlineLevel="0" collapsed="false">
      <c r="A101" s="4"/>
      <c r="B101" s="4"/>
      <c r="C101" s="4"/>
      <c r="D101" s="4"/>
      <c r="E101" s="4"/>
      <c r="F101" s="5" t="str">
        <f aca="false">IF($A101="","",SUMIFS(Movements!$D$5:$D$304,Movements!$C$5:$C$304,$A101,Movements!$B$5:$B$304,"Receive"))</f>
        <v/>
      </c>
      <c r="G101" s="5" t="str">
        <f aca="false">IF($A101="","",SUMIFS(Movements!$D$5:$D$304,Movements!$C$5:$C$304,$A101,Movements!$B$5:$B$304,"Sell"))</f>
        <v/>
      </c>
      <c r="H101" s="5" t="str">
        <f aca="false">IF($A101="","",SUMIFS(Recipes!$H$5:$H$104,Recipes!$C$5:$C$104,$A101,Recipes!$B$5:$B$104,"B"))</f>
        <v/>
      </c>
      <c r="I101" s="5" t="str">
        <f aca="false">IF($A101="","",SUMIFS(Recipes!$H$5:$H$104,Recipes!$C$5:$C$104,$A101,Recipes!$B$5:$B$104,"C"))</f>
        <v/>
      </c>
      <c r="J101" s="5" t="str">
        <f aca="false">IF($A101="","",SUMIFS(Movements!$D$5:$D$304,Movements!$C$5:$C$304,$A101,Movements!$B$5:$B$304,"Adjust"))</f>
        <v/>
      </c>
      <c r="K101" s="5" t="str">
        <f aca="false">IF($A101="","",$E101+$F101-$G101-$H101-$I101+$J101)</f>
        <v/>
      </c>
      <c r="L101" s="4"/>
    </row>
    <row r="102" customFormat="false" ht="15" hidden="false" customHeight="false" outlineLevel="0" collapsed="false">
      <c r="A102" s="4"/>
      <c r="B102" s="4"/>
      <c r="C102" s="4"/>
      <c r="D102" s="4"/>
      <c r="E102" s="4"/>
      <c r="F102" s="5" t="str">
        <f aca="false">IF($A102="","",SUMIFS(Movements!$D$5:$D$304,Movements!$C$5:$C$304,$A102,Movements!$B$5:$B$304,"Receive"))</f>
        <v/>
      </c>
      <c r="G102" s="5" t="str">
        <f aca="false">IF($A102="","",SUMIFS(Movements!$D$5:$D$304,Movements!$C$5:$C$304,$A102,Movements!$B$5:$B$304,"Sell"))</f>
        <v/>
      </c>
      <c r="H102" s="5" t="str">
        <f aca="false">IF($A102="","",SUMIFS(Recipes!$H$5:$H$104,Recipes!$C$5:$C$104,$A102,Recipes!$B$5:$B$104,"B"))</f>
        <v/>
      </c>
      <c r="I102" s="5" t="str">
        <f aca="false">IF($A102="","",SUMIFS(Recipes!$H$5:$H$104,Recipes!$C$5:$C$104,$A102,Recipes!$B$5:$B$104,"C"))</f>
        <v/>
      </c>
      <c r="J102" s="5" t="str">
        <f aca="false">IF($A102="","",SUMIFS(Movements!$D$5:$D$304,Movements!$C$5:$C$304,$A102,Movements!$B$5:$B$304,"Adjust"))</f>
        <v/>
      </c>
      <c r="K102" s="5" t="str">
        <f aca="false">IF($A102="","",$E102+$F102-$G102-$H102-$I102+$J102)</f>
        <v/>
      </c>
      <c r="L102" s="4"/>
    </row>
    <row r="103" customFormat="false" ht="15" hidden="false" customHeight="false" outlineLevel="0" collapsed="false">
      <c r="A103" s="4"/>
      <c r="B103" s="4"/>
      <c r="C103" s="4"/>
      <c r="D103" s="4"/>
      <c r="E103" s="4"/>
      <c r="F103" s="5" t="str">
        <f aca="false">IF($A103="","",SUMIFS(Movements!$D$5:$D$304,Movements!$C$5:$C$304,$A103,Movements!$B$5:$B$304,"Receive"))</f>
        <v/>
      </c>
      <c r="G103" s="5" t="str">
        <f aca="false">IF($A103="","",SUMIFS(Movements!$D$5:$D$304,Movements!$C$5:$C$304,$A103,Movements!$B$5:$B$304,"Sell"))</f>
        <v/>
      </c>
      <c r="H103" s="5" t="str">
        <f aca="false">IF($A103="","",SUMIFS(Recipes!$H$5:$H$104,Recipes!$C$5:$C$104,$A103,Recipes!$B$5:$B$104,"B"))</f>
        <v/>
      </c>
      <c r="I103" s="5" t="str">
        <f aca="false">IF($A103="","",SUMIFS(Recipes!$H$5:$H$104,Recipes!$C$5:$C$104,$A103,Recipes!$B$5:$B$104,"C"))</f>
        <v/>
      </c>
      <c r="J103" s="5" t="str">
        <f aca="false">IF($A103="","",SUMIFS(Movements!$D$5:$D$304,Movements!$C$5:$C$304,$A103,Movements!$B$5:$B$304,"Adjust"))</f>
        <v/>
      </c>
      <c r="K103" s="5" t="str">
        <f aca="false">IF($A103="","",$E103+$F103-$G103-$H103-$I103+$J103)</f>
        <v/>
      </c>
      <c r="L103" s="4"/>
    </row>
    <row r="104" customFormat="false" ht="15" hidden="false" customHeight="false" outlineLevel="0" collapsed="false">
      <c r="A104" s="4"/>
      <c r="B104" s="4"/>
      <c r="C104" s="4"/>
      <c r="D104" s="4"/>
      <c r="E104" s="4"/>
      <c r="F104" s="5" t="str">
        <f aca="false">IF($A104="","",SUMIFS(Movements!$D$5:$D$304,Movements!$C$5:$C$304,$A104,Movements!$B$5:$B$304,"Receive"))</f>
        <v/>
      </c>
      <c r="G104" s="5" t="str">
        <f aca="false">IF($A104="","",SUMIFS(Movements!$D$5:$D$304,Movements!$C$5:$C$304,$A104,Movements!$B$5:$B$304,"Sell"))</f>
        <v/>
      </c>
      <c r="H104" s="5" t="str">
        <f aca="false">IF($A104="","",SUMIFS(Recipes!$H$5:$H$104,Recipes!$C$5:$C$104,$A104,Recipes!$B$5:$B$104,"B"))</f>
        <v/>
      </c>
      <c r="I104" s="5" t="str">
        <f aca="false">IF($A104="","",SUMIFS(Recipes!$H$5:$H$104,Recipes!$C$5:$C$104,$A104,Recipes!$B$5:$B$104,"C"))</f>
        <v/>
      </c>
      <c r="J104" s="5" t="str">
        <f aca="false">IF($A104="","",SUMIFS(Movements!$D$5:$D$304,Movements!$C$5:$C$304,$A104,Movements!$B$5:$B$304,"Adjust"))</f>
        <v/>
      </c>
      <c r="K104" s="5" t="str">
        <f aca="false">IF($A104="","",$E104+$F104-$G104-$H104-$I104+$J104)</f>
        <v/>
      </c>
      <c r="L104" s="4"/>
    </row>
  </sheetData>
  <conditionalFormatting sqref="D5:D104">
    <cfRule type="expression" priority="2" aboveAverage="0" equalAverage="0" bottom="0" percent="0" rank="0" text="" dxfId="0">
      <formula>NOT(OR($C5="Box",$C5="Pack",$C5="Set",$C5="Bundle",$C5="Dozen",$C5="Roll"))</formula>
    </cfRule>
  </conditionalFormatting>
  <dataValidations count="2">
    <dataValidation allowBlank="true" errorStyle="stop" operator="between" showDropDown="false" showErrorMessage="false" showInputMessage="false" sqref="C5:C104" type="list">
      <formula1>"Pcs,Pack,Set,Pair,Dozen,Box,Bundle,Roll,Meters,Sheet,Kg,Grams"</formula1>
      <formula2>0</formula2>
    </dataValidation>
    <dataValidation allowBlank="true" error="Pcs per Pack applies to Box, Pack, Set, Bundle, Dozen and Roll. Set this row's Unit to one of those first, then enter how many single pieces are in one of them." errorStyle="stop" errorTitle="Only for a unit that holds pieces" operator="between" showDropDown="false" showErrorMessage="true" showInputMessage="false" sqref="D5:D104" type="custom">
      <formula1>AND(OR($C5="Box",$C5="Pack",$C5="Set",$C5="Bundle",$C5="Dozen",$C5="Roll"),ISNUMBER($D5))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9"/>
    <col collapsed="false" customWidth="true" hidden="false" outlineLevel="0" max="4" min="4" style="0" width="10"/>
    <col collapsed="false" customWidth="true" hidden="false" outlineLevel="0" max="5" min="5" style="0" width="13"/>
    <col collapsed="false" customWidth="true" hidden="false" outlineLevel="0" max="6" min="6" style="0" width="11"/>
    <col collapsed="false" customWidth="true" hidden="false" outlineLevel="0" max="7" min="7" style="0" width="12"/>
    <col collapsed="false" customWidth="true" hidden="false" outlineLevel="0" max="8" min="8" style="0" width="13"/>
    <col collapsed="false" customWidth="true" hidden="false" outlineLevel="0" max="9" min="9" style="0" width="14"/>
    <col collapsed="false" customWidth="true" hidden="false" outlineLevel="0" max="10" min="10" style="0" width="22"/>
    <col collapsed="false" customWidth="true" hidden="false" outlineLevel="0" max="11" min="11" style="0" width="12"/>
    <col collapsed="false" customWidth="true" hidden="false" outlineLevel="0" max="12" min="12" style="0" width="26"/>
  </cols>
  <sheetData>
    <row r="1" customFormat="false" ht="16.15" hidden="false" customHeight="false" outlineLevel="0" collapsed="false">
      <c r="A1" s="1" t="s">
        <v>27</v>
      </c>
    </row>
    <row r="2" customFormat="false" ht="25.5" hidden="false" customHeight="true" outlineLevel="0" collapsed="false">
      <c r="A2" s="2" t="s">
        <v>28</v>
      </c>
    </row>
    <row r="4" customFormat="false" ht="33.75" hidden="false" customHeight="true" outlineLevel="0" collapsed="false">
      <c r="A4" s="3" t="s">
        <v>2</v>
      </c>
      <c r="B4" s="3" t="s">
        <v>3</v>
      </c>
      <c r="C4" s="3" t="s">
        <v>29</v>
      </c>
      <c r="D4" s="3" t="s">
        <v>11</v>
      </c>
      <c r="E4" s="3" t="s">
        <v>30</v>
      </c>
      <c r="F4" s="3" t="s">
        <v>31</v>
      </c>
      <c r="G4" s="3" t="s">
        <v>32</v>
      </c>
      <c r="H4" s="3" t="s">
        <v>33</v>
      </c>
      <c r="I4" s="3" t="s">
        <v>34</v>
      </c>
      <c r="J4" s="3" t="s">
        <v>35</v>
      </c>
      <c r="K4" s="3" t="s">
        <v>36</v>
      </c>
      <c r="L4" s="3" t="s">
        <v>13</v>
      </c>
    </row>
    <row r="5" customFormat="false" ht="15" hidden="false" customHeight="false" outlineLevel="0" collapsed="false">
      <c r="A5" s="4" t="s">
        <v>37</v>
      </c>
      <c r="B5" s="4" t="s">
        <v>38</v>
      </c>
      <c r="C5" s="5" t="n">
        <f aca="false">IF($A5="","",SUMIFS(Movements!$D$5:$D$304,Movements!$C$5:$C$304,$A5,Movements!$B$5:$B$304,"Build"))</f>
        <v>20</v>
      </c>
      <c r="D5" s="5" t="n">
        <f aca="false">IF($A5="","",SUMIFS(Movements!$D$5:$D$304,Movements!$C$5:$C$304,$A5,Movements!$B$5:$B$304,"Adjust"))</f>
        <v>0</v>
      </c>
      <c r="E5" s="5" t="n">
        <f aca="false">IF($A5="","",SUMIFS(Recipes!$H$5:$H$104,Recipes!$C$5:$C$104,$A5,Recipes!$B$5:$B$104,"C"))</f>
        <v>22</v>
      </c>
      <c r="F5" s="5" t="n">
        <f aca="false">IF($A5="","",MAX(0,$C5+$D5-$E5))</f>
        <v>0</v>
      </c>
      <c r="G5" s="6" t="n">
        <f aca="false">IF($A5="","",MAX($C5,$E5))</f>
        <v>22</v>
      </c>
      <c r="H5" s="5" t="n">
        <f aca="false">IF($A5="","",_xlfn.MINIFS(Recipes!$I$5:$I$104,Recipes!$A$5:$A$104,$A5,Recipes!$B$5:$B$104,"B"))</f>
        <v>19</v>
      </c>
      <c r="I5" s="5" t="n">
        <f aca="false">IF($A5="","",$F5+$H5)</f>
        <v>19</v>
      </c>
      <c r="J5" s="5" t="str">
        <f aca="false">IF($A5="","",IFERROR(INDEX(Recipes!$C$5:$C$104,MATCH($A5&amp;"|"&amp;$H5,Recipes!$M$5:$M$104,0)),""))</f>
        <v>WHT-BAL</v>
      </c>
      <c r="K5" s="5" t="n">
        <f aca="false">IF($A5="","",COUNTIFS(Recipes!$C$5:$C$104,$A5,Recipes!$B$5:$B$104,"C"))</f>
        <v>2</v>
      </c>
      <c r="L5" s="4" t="s">
        <v>39</v>
      </c>
    </row>
    <row r="6" customFormat="false" ht="15" hidden="false" customHeight="false" outlineLevel="0" collapsed="false">
      <c r="A6" s="4" t="s">
        <v>40</v>
      </c>
      <c r="B6" s="4" t="s">
        <v>41</v>
      </c>
      <c r="C6" s="5" t="n">
        <f aca="false">IF($A6="","",SUMIFS(Movements!$D$5:$D$304,Movements!$C$5:$C$304,$A6,Movements!$B$5:$B$304,"Build"))</f>
        <v>0</v>
      </c>
      <c r="D6" s="5" t="n">
        <f aca="false">IF($A6="","",SUMIFS(Movements!$D$5:$D$304,Movements!$C$5:$C$304,$A6,Movements!$B$5:$B$304,"Adjust"))</f>
        <v>0</v>
      </c>
      <c r="E6" s="5" t="n">
        <f aca="false">IF($A6="","",SUMIFS(Recipes!$H$5:$H$104,Recipes!$C$5:$C$104,$A6,Recipes!$B$5:$B$104,"C"))</f>
        <v>12</v>
      </c>
      <c r="F6" s="5" t="n">
        <f aca="false">IF($A6="","",MAX(0,$C6+$D6-$E6))</f>
        <v>0</v>
      </c>
      <c r="G6" s="6" t="n">
        <f aca="false">IF($A6="","",MAX($C6,$E6))</f>
        <v>12</v>
      </c>
      <c r="H6" s="5" t="n">
        <f aca="false">IF($A6="","",_xlfn.MINIFS(Recipes!$I$5:$I$104,Recipes!$A$5:$A$104,$A6,Recipes!$B$5:$B$104,"B"))</f>
        <v>58</v>
      </c>
      <c r="I6" s="5" t="n">
        <f aca="false">IF($A6="","",$F6+$H6)</f>
        <v>58</v>
      </c>
      <c r="J6" s="5" t="str">
        <f aca="false">IF($A6="","",IFERROR(INDEX(Recipes!$C$5:$C$104,MATCH($A6&amp;"|"&amp;$H6,Recipes!$M$5:$M$104,0)),""))</f>
        <v>WHT-BAL</v>
      </c>
      <c r="K6" s="5" t="n">
        <f aca="false">IF($A6="","",COUNTIFS(Recipes!$C$5:$C$104,$A6,Recipes!$B$5:$B$104,"C"))</f>
        <v>1</v>
      </c>
      <c r="L6" s="4"/>
    </row>
    <row r="7" customFormat="false" ht="15" hidden="false" customHeight="false" outlineLevel="0" collapsed="false">
      <c r="A7" s="4" t="s">
        <v>42</v>
      </c>
      <c r="B7" s="4" t="s">
        <v>43</v>
      </c>
      <c r="C7" s="5" t="n">
        <f aca="false">IF($A7="","",SUMIFS(Movements!$D$5:$D$304,Movements!$C$5:$C$304,$A7,Movements!$B$5:$B$304,"Build"))</f>
        <v>0</v>
      </c>
      <c r="D7" s="5" t="n">
        <f aca="false">IF($A7="","",SUMIFS(Movements!$D$5:$D$304,Movements!$C$5:$C$304,$A7,Movements!$B$5:$B$304,"Adjust"))</f>
        <v>0</v>
      </c>
      <c r="E7" s="5" t="n">
        <f aca="false">IF($A7="","",SUMIFS(Recipes!$H$5:$H$104,Recipes!$C$5:$C$104,$A7,Recipes!$B$5:$B$104,"C"))</f>
        <v>17</v>
      </c>
      <c r="F7" s="5" t="n">
        <f aca="false">IF($A7="","",MAX(0,$C7+$D7-$E7))</f>
        <v>0</v>
      </c>
      <c r="G7" s="6" t="n">
        <f aca="false">IF($A7="","",MAX($C7,$E7))</f>
        <v>17</v>
      </c>
      <c r="H7" s="5" t="n">
        <f aca="false">IF($A7="","",_xlfn.MINIFS(Recipes!$I$5:$I$104,Recipes!$A$5:$A$104,$A7,Recipes!$B$5:$B$104,"B"))</f>
        <v>63</v>
      </c>
      <c r="I7" s="5" t="n">
        <f aca="false">IF($A7="","",$F7+$H7)</f>
        <v>63</v>
      </c>
      <c r="J7" s="5" t="str">
        <f aca="false">IF($A7="","",IFERROR(INDEX(Recipes!$C$5:$C$104,MATCH($A7&amp;"|"&amp;$H7,Recipes!$M$5:$M$104,0)),""))</f>
        <v>PUMP</v>
      </c>
      <c r="K7" s="5" t="n">
        <f aca="false">IF($A7="","",COUNTIFS(Recipes!$C$5:$C$104,$A7,Recipes!$B$5:$B$104,"C"))</f>
        <v>2</v>
      </c>
      <c r="L7" s="4"/>
    </row>
    <row r="8" customFormat="false" ht="15" hidden="false" customHeight="false" outlineLevel="0" collapsed="false">
      <c r="A8" s="4"/>
      <c r="B8" s="4"/>
      <c r="C8" s="5" t="str">
        <f aca="false">IF($A8="","",SUMIFS(Movements!$D$5:$D$304,Movements!$C$5:$C$304,$A8,Movements!$B$5:$B$304,"Build"))</f>
        <v/>
      </c>
      <c r="D8" s="5" t="str">
        <f aca="false">IF($A8="","",SUMIFS(Movements!$D$5:$D$304,Movements!$C$5:$C$304,$A8,Movements!$B$5:$B$304,"Adjust"))</f>
        <v/>
      </c>
      <c r="E8" s="5" t="str">
        <f aca="false">IF($A8="","",SUMIFS(Recipes!$H$5:$H$104,Recipes!$C$5:$C$104,$A8,Recipes!$B$5:$B$104,"C"))</f>
        <v/>
      </c>
      <c r="F8" s="5" t="str">
        <f aca="false">IF($A8="","",MAX(0,$C8+$D8-$E8))</f>
        <v/>
      </c>
      <c r="G8" s="6" t="str">
        <f aca="false">IF($A8="","",MAX($C8,$E8))</f>
        <v/>
      </c>
      <c r="H8" s="5" t="str">
        <f aca="false">IF($A8="","",_xlfn.MINIFS(Recipes!$I$5:$I$104,Recipes!$A$5:$A$104,$A8,Recipes!$B$5:$B$104,"B"))</f>
        <v/>
      </c>
      <c r="I8" s="5" t="str">
        <f aca="false">IF($A8="","",$F8+$H8)</f>
        <v/>
      </c>
      <c r="J8" s="5" t="str">
        <f aca="false">IF($A8="","",IFERROR(INDEX(Recipes!$C$5:$C$104,MATCH($A8&amp;"|"&amp;$H8,Recipes!$M$5:$M$104,0)),""))</f>
        <v/>
      </c>
      <c r="K8" s="5" t="str">
        <f aca="false">IF($A8="","",COUNTIFS(Recipes!$C$5:$C$104,$A8,Recipes!$B$5:$B$104,"C"))</f>
        <v/>
      </c>
      <c r="L8" s="4"/>
    </row>
    <row r="9" customFormat="false" ht="15" hidden="false" customHeight="false" outlineLevel="0" collapsed="false">
      <c r="A9" s="4"/>
      <c r="B9" s="4"/>
      <c r="C9" s="5" t="str">
        <f aca="false">IF($A9="","",SUMIFS(Movements!$D$5:$D$304,Movements!$C$5:$C$304,$A9,Movements!$B$5:$B$304,"Build"))</f>
        <v/>
      </c>
      <c r="D9" s="5" t="str">
        <f aca="false">IF($A9="","",SUMIFS(Movements!$D$5:$D$304,Movements!$C$5:$C$304,$A9,Movements!$B$5:$B$304,"Adjust"))</f>
        <v/>
      </c>
      <c r="E9" s="5" t="str">
        <f aca="false">IF($A9="","",SUMIFS(Recipes!$H$5:$H$104,Recipes!$C$5:$C$104,$A9,Recipes!$B$5:$B$104,"C"))</f>
        <v/>
      </c>
      <c r="F9" s="5" t="str">
        <f aca="false">IF($A9="","",MAX(0,$C9+$D9-$E9))</f>
        <v/>
      </c>
      <c r="G9" s="6" t="str">
        <f aca="false">IF($A9="","",MAX($C9,$E9))</f>
        <v/>
      </c>
      <c r="H9" s="5" t="str">
        <f aca="false">IF($A9="","",_xlfn.MINIFS(Recipes!$I$5:$I$104,Recipes!$A$5:$A$104,$A9,Recipes!$B$5:$B$104,"B"))</f>
        <v/>
      </c>
      <c r="I9" s="5" t="str">
        <f aca="false">IF($A9="","",$F9+$H9)</f>
        <v/>
      </c>
      <c r="J9" s="5" t="str">
        <f aca="false">IF($A9="","",IFERROR(INDEX(Recipes!$C$5:$C$104,MATCH($A9&amp;"|"&amp;$H9,Recipes!$M$5:$M$104,0)),""))</f>
        <v/>
      </c>
      <c r="K9" s="5" t="str">
        <f aca="false">IF($A9="","",COUNTIFS(Recipes!$C$5:$C$104,$A9,Recipes!$B$5:$B$104,"C"))</f>
        <v/>
      </c>
      <c r="L9" s="4"/>
    </row>
    <row r="10" customFormat="false" ht="15" hidden="false" customHeight="false" outlineLevel="0" collapsed="false">
      <c r="A10" s="4"/>
      <c r="B10" s="4"/>
      <c r="C10" s="5" t="str">
        <f aca="false">IF($A10="","",SUMIFS(Movements!$D$5:$D$304,Movements!$C$5:$C$304,$A10,Movements!$B$5:$B$304,"Build"))</f>
        <v/>
      </c>
      <c r="D10" s="5" t="str">
        <f aca="false">IF($A10="","",SUMIFS(Movements!$D$5:$D$304,Movements!$C$5:$C$304,$A10,Movements!$B$5:$B$304,"Adjust"))</f>
        <v/>
      </c>
      <c r="E10" s="5" t="str">
        <f aca="false">IF($A10="","",SUMIFS(Recipes!$H$5:$H$104,Recipes!$C$5:$C$104,$A10,Recipes!$B$5:$B$104,"C"))</f>
        <v/>
      </c>
      <c r="F10" s="5" t="str">
        <f aca="false">IF($A10="","",MAX(0,$C10+$D10-$E10))</f>
        <v/>
      </c>
      <c r="G10" s="6" t="str">
        <f aca="false">IF($A10="","",MAX($C10,$E10))</f>
        <v/>
      </c>
      <c r="H10" s="5" t="str">
        <f aca="false">IF($A10="","",_xlfn.MINIFS(Recipes!$I$5:$I$104,Recipes!$A$5:$A$104,$A10,Recipes!$B$5:$B$104,"B"))</f>
        <v/>
      </c>
      <c r="I10" s="5" t="str">
        <f aca="false">IF($A10="","",$F10+$H10)</f>
        <v/>
      </c>
      <c r="J10" s="5" t="str">
        <f aca="false">IF($A10="","",IFERROR(INDEX(Recipes!$C$5:$C$104,MATCH($A10&amp;"|"&amp;$H10,Recipes!$M$5:$M$104,0)),""))</f>
        <v/>
      </c>
      <c r="K10" s="5" t="str">
        <f aca="false">IF($A10="","",COUNTIFS(Recipes!$C$5:$C$104,$A10,Recipes!$B$5:$B$104,"C"))</f>
        <v/>
      </c>
      <c r="L10" s="4"/>
    </row>
    <row r="11" customFormat="false" ht="15" hidden="false" customHeight="false" outlineLevel="0" collapsed="false">
      <c r="A11" s="4"/>
      <c r="B11" s="4"/>
      <c r="C11" s="5" t="str">
        <f aca="false">IF($A11="","",SUMIFS(Movements!$D$5:$D$304,Movements!$C$5:$C$304,$A11,Movements!$B$5:$B$304,"Build"))</f>
        <v/>
      </c>
      <c r="D11" s="5" t="str">
        <f aca="false">IF($A11="","",SUMIFS(Movements!$D$5:$D$304,Movements!$C$5:$C$304,$A11,Movements!$B$5:$B$304,"Adjust"))</f>
        <v/>
      </c>
      <c r="E11" s="5" t="str">
        <f aca="false">IF($A11="","",SUMIFS(Recipes!$H$5:$H$104,Recipes!$C$5:$C$104,$A11,Recipes!$B$5:$B$104,"C"))</f>
        <v/>
      </c>
      <c r="F11" s="5" t="str">
        <f aca="false">IF($A11="","",MAX(0,$C11+$D11-$E11))</f>
        <v/>
      </c>
      <c r="G11" s="6" t="str">
        <f aca="false">IF($A11="","",MAX($C11,$E11))</f>
        <v/>
      </c>
      <c r="H11" s="5" t="str">
        <f aca="false">IF($A11="","",_xlfn.MINIFS(Recipes!$I$5:$I$104,Recipes!$A$5:$A$104,$A11,Recipes!$B$5:$B$104,"B"))</f>
        <v/>
      </c>
      <c r="I11" s="5" t="str">
        <f aca="false">IF($A11="","",$F11+$H11)</f>
        <v/>
      </c>
      <c r="J11" s="5" t="str">
        <f aca="false">IF($A11="","",IFERROR(INDEX(Recipes!$C$5:$C$104,MATCH($A11&amp;"|"&amp;$H11,Recipes!$M$5:$M$104,0)),""))</f>
        <v/>
      </c>
      <c r="K11" s="5" t="str">
        <f aca="false">IF($A11="","",COUNTIFS(Recipes!$C$5:$C$104,$A11,Recipes!$B$5:$B$104,"C"))</f>
        <v/>
      </c>
      <c r="L11" s="4"/>
    </row>
    <row r="12" customFormat="false" ht="15" hidden="false" customHeight="false" outlineLevel="0" collapsed="false">
      <c r="A12" s="4"/>
      <c r="B12" s="4"/>
      <c r="C12" s="5" t="str">
        <f aca="false">IF($A12="","",SUMIFS(Movements!$D$5:$D$304,Movements!$C$5:$C$304,$A12,Movements!$B$5:$B$304,"Build"))</f>
        <v/>
      </c>
      <c r="D12" s="5" t="str">
        <f aca="false">IF($A12="","",SUMIFS(Movements!$D$5:$D$304,Movements!$C$5:$C$304,$A12,Movements!$B$5:$B$304,"Adjust"))</f>
        <v/>
      </c>
      <c r="E12" s="5" t="str">
        <f aca="false">IF($A12="","",SUMIFS(Recipes!$H$5:$H$104,Recipes!$C$5:$C$104,$A12,Recipes!$B$5:$B$104,"C"))</f>
        <v/>
      </c>
      <c r="F12" s="5" t="str">
        <f aca="false">IF($A12="","",MAX(0,$C12+$D12-$E12))</f>
        <v/>
      </c>
      <c r="G12" s="6" t="str">
        <f aca="false">IF($A12="","",MAX($C12,$E12))</f>
        <v/>
      </c>
      <c r="H12" s="5" t="str">
        <f aca="false">IF($A12="","",_xlfn.MINIFS(Recipes!$I$5:$I$104,Recipes!$A$5:$A$104,$A12,Recipes!$B$5:$B$104,"B"))</f>
        <v/>
      </c>
      <c r="I12" s="5" t="str">
        <f aca="false">IF($A12="","",$F12+$H12)</f>
        <v/>
      </c>
      <c r="J12" s="5" t="str">
        <f aca="false">IF($A12="","",IFERROR(INDEX(Recipes!$C$5:$C$104,MATCH($A12&amp;"|"&amp;$H12,Recipes!$M$5:$M$104,0)),""))</f>
        <v/>
      </c>
      <c r="K12" s="5" t="str">
        <f aca="false">IF($A12="","",COUNTIFS(Recipes!$C$5:$C$104,$A12,Recipes!$B$5:$B$104,"C"))</f>
        <v/>
      </c>
      <c r="L12" s="4"/>
    </row>
    <row r="13" customFormat="false" ht="15" hidden="false" customHeight="false" outlineLevel="0" collapsed="false">
      <c r="A13" s="4"/>
      <c r="B13" s="4"/>
      <c r="C13" s="5" t="str">
        <f aca="false">IF($A13="","",SUMIFS(Movements!$D$5:$D$304,Movements!$C$5:$C$304,$A13,Movements!$B$5:$B$304,"Build"))</f>
        <v/>
      </c>
      <c r="D13" s="5" t="str">
        <f aca="false">IF($A13="","",SUMIFS(Movements!$D$5:$D$304,Movements!$C$5:$C$304,$A13,Movements!$B$5:$B$304,"Adjust"))</f>
        <v/>
      </c>
      <c r="E13" s="5" t="str">
        <f aca="false">IF($A13="","",SUMIFS(Recipes!$H$5:$H$104,Recipes!$C$5:$C$104,$A13,Recipes!$B$5:$B$104,"C"))</f>
        <v/>
      </c>
      <c r="F13" s="5" t="str">
        <f aca="false">IF($A13="","",MAX(0,$C13+$D13-$E13))</f>
        <v/>
      </c>
      <c r="G13" s="6" t="str">
        <f aca="false">IF($A13="","",MAX($C13,$E13))</f>
        <v/>
      </c>
      <c r="H13" s="5" t="str">
        <f aca="false">IF($A13="","",_xlfn.MINIFS(Recipes!$I$5:$I$104,Recipes!$A$5:$A$104,$A13,Recipes!$B$5:$B$104,"B"))</f>
        <v/>
      </c>
      <c r="I13" s="5" t="str">
        <f aca="false">IF($A13="","",$F13+$H13)</f>
        <v/>
      </c>
      <c r="J13" s="5" t="str">
        <f aca="false">IF($A13="","",IFERROR(INDEX(Recipes!$C$5:$C$104,MATCH($A13&amp;"|"&amp;$H13,Recipes!$M$5:$M$104,0)),""))</f>
        <v/>
      </c>
      <c r="K13" s="5" t="str">
        <f aca="false">IF($A13="","",COUNTIFS(Recipes!$C$5:$C$104,$A13,Recipes!$B$5:$B$104,"C"))</f>
        <v/>
      </c>
      <c r="L13" s="4"/>
    </row>
    <row r="14" customFormat="false" ht="15" hidden="false" customHeight="false" outlineLevel="0" collapsed="false">
      <c r="A14" s="4"/>
      <c r="B14" s="4"/>
      <c r="C14" s="5" t="str">
        <f aca="false">IF($A14="","",SUMIFS(Movements!$D$5:$D$304,Movements!$C$5:$C$304,$A14,Movements!$B$5:$B$304,"Build"))</f>
        <v/>
      </c>
      <c r="D14" s="5" t="str">
        <f aca="false">IF($A14="","",SUMIFS(Movements!$D$5:$D$304,Movements!$C$5:$C$304,$A14,Movements!$B$5:$B$304,"Adjust"))</f>
        <v/>
      </c>
      <c r="E14" s="5" t="str">
        <f aca="false">IF($A14="","",SUMIFS(Recipes!$H$5:$H$104,Recipes!$C$5:$C$104,$A14,Recipes!$B$5:$B$104,"C"))</f>
        <v/>
      </c>
      <c r="F14" s="5" t="str">
        <f aca="false">IF($A14="","",MAX(0,$C14+$D14-$E14))</f>
        <v/>
      </c>
      <c r="G14" s="6" t="str">
        <f aca="false">IF($A14="","",MAX($C14,$E14))</f>
        <v/>
      </c>
      <c r="H14" s="5" t="str">
        <f aca="false">IF($A14="","",_xlfn.MINIFS(Recipes!$I$5:$I$104,Recipes!$A$5:$A$104,$A14,Recipes!$B$5:$B$104,"B"))</f>
        <v/>
      </c>
      <c r="I14" s="5" t="str">
        <f aca="false">IF($A14="","",$F14+$H14)</f>
        <v/>
      </c>
      <c r="J14" s="5" t="str">
        <f aca="false">IF($A14="","",IFERROR(INDEX(Recipes!$C$5:$C$104,MATCH($A14&amp;"|"&amp;$H14,Recipes!$M$5:$M$104,0)),""))</f>
        <v/>
      </c>
      <c r="K14" s="5" t="str">
        <f aca="false">IF($A14="","",COUNTIFS(Recipes!$C$5:$C$104,$A14,Recipes!$B$5:$B$104,"C"))</f>
        <v/>
      </c>
      <c r="L14" s="4"/>
    </row>
    <row r="15" customFormat="false" ht="15" hidden="false" customHeight="false" outlineLevel="0" collapsed="false">
      <c r="A15" s="4"/>
      <c r="B15" s="4"/>
      <c r="C15" s="5" t="str">
        <f aca="false">IF($A15="","",SUMIFS(Movements!$D$5:$D$304,Movements!$C$5:$C$304,$A15,Movements!$B$5:$B$304,"Build"))</f>
        <v/>
      </c>
      <c r="D15" s="5" t="str">
        <f aca="false">IF($A15="","",SUMIFS(Movements!$D$5:$D$304,Movements!$C$5:$C$304,$A15,Movements!$B$5:$B$304,"Adjust"))</f>
        <v/>
      </c>
      <c r="E15" s="5" t="str">
        <f aca="false">IF($A15="","",SUMIFS(Recipes!$H$5:$H$104,Recipes!$C$5:$C$104,$A15,Recipes!$B$5:$B$104,"C"))</f>
        <v/>
      </c>
      <c r="F15" s="5" t="str">
        <f aca="false">IF($A15="","",MAX(0,$C15+$D15-$E15))</f>
        <v/>
      </c>
      <c r="G15" s="6" t="str">
        <f aca="false">IF($A15="","",MAX($C15,$E15))</f>
        <v/>
      </c>
      <c r="H15" s="5" t="str">
        <f aca="false">IF($A15="","",_xlfn.MINIFS(Recipes!$I$5:$I$104,Recipes!$A$5:$A$104,$A15,Recipes!$B$5:$B$104,"B"))</f>
        <v/>
      </c>
      <c r="I15" s="5" t="str">
        <f aca="false">IF($A15="","",$F15+$H15)</f>
        <v/>
      </c>
      <c r="J15" s="5" t="str">
        <f aca="false">IF($A15="","",IFERROR(INDEX(Recipes!$C$5:$C$104,MATCH($A15&amp;"|"&amp;$H15,Recipes!$M$5:$M$104,0)),""))</f>
        <v/>
      </c>
      <c r="K15" s="5" t="str">
        <f aca="false">IF($A15="","",COUNTIFS(Recipes!$C$5:$C$104,$A15,Recipes!$B$5:$B$104,"C"))</f>
        <v/>
      </c>
      <c r="L15" s="4"/>
    </row>
    <row r="16" customFormat="false" ht="15" hidden="false" customHeight="false" outlineLevel="0" collapsed="false">
      <c r="A16" s="4"/>
      <c r="B16" s="4"/>
      <c r="C16" s="5" t="str">
        <f aca="false">IF($A16="","",SUMIFS(Movements!$D$5:$D$304,Movements!$C$5:$C$304,$A16,Movements!$B$5:$B$304,"Build"))</f>
        <v/>
      </c>
      <c r="D16" s="5" t="str">
        <f aca="false">IF($A16="","",SUMIFS(Movements!$D$5:$D$304,Movements!$C$5:$C$304,$A16,Movements!$B$5:$B$304,"Adjust"))</f>
        <v/>
      </c>
      <c r="E16" s="5" t="str">
        <f aca="false">IF($A16="","",SUMIFS(Recipes!$H$5:$H$104,Recipes!$C$5:$C$104,$A16,Recipes!$B$5:$B$104,"C"))</f>
        <v/>
      </c>
      <c r="F16" s="5" t="str">
        <f aca="false">IF($A16="","",MAX(0,$C16+$D16-$E16))</f>
        <v/>
      </c>
      <c r="G16" s="6" t="str">
        <f aca="false">IF($A16="","",MAX($C16,$E16))</f>
        <v/>
      </c>
      <c r="H16" s="5" t="str">
        <f aca="false">IF($A16="","",_xlfn.MINIFS(Recipes!$I$5:$I$104,Recipes!$A$5:$A$104,$A16,Recipes!$B$5:$B$104,"B"))</f>
        <v/>
      </c>
      <c r="I16" s="5" t="str">
        <f aca="false">IF($A16="","",$F16+$H16)</f>
        <v/>
      </c>
      <c r="J16" s="5" t="str">
        <f aca="false">IF($A16="","",IFERROR(INDEX(Recipes!$C$5:$C$104,MATCH($A16&amp;"|"&amp;$H16,Recipes!$M$5:$M$104,0)),""))</f>
        <v/>
      </c>
      <c r="K16" s="5" t="str">
        <f aca="false">IF($A16="","",COUNTIFS(Recipes!$C$5:$C$104,$A16,Recipes!$B$5:$B$104,"C"))</f>
        <v/>
      </c>
      <c r="L16" s="4"/>
    </row>
    <row r="17" customFormat="false" ht="15" hidden="false" customHeight="false" outlineLevel="0" collapsed="false">
      <c r="A17" s="4"/>
      <c r="B17" s="4"/>
      <c r="C17" s="5" t="str">
        <f aca="false">IF($A17="","",SUMIFS(Movements!$D$5:$D$304,Movements!$C$5:$C$304,$A17,Movements!$B$5:$B$304,"Build"))</f>
        <v/>
      </c>
      <c r="D17" s="5" t="str">
        <f aca="false">IF($A17="","",SUMIFS(Movements!$D$5:$D$304,Movements!$C$5:$C$304,$A17,Movements!$B$5:$B$304,"Adjust"))</f>
        <v/>
      </c>
      <c r="E17" s="5" t="str">
        <f aca="false">IF($A17="","",SUMIFS(Recipes!$H$5:$H$104,Recipes!$C$5:$C$104,$A17,Recipes!$B$5:$B$104,"C"))</f>
        <v/>
      </c>
      <c r="F17" s="5" t="str">
        <f aca="false">IF($A17="","",MAX(0,$C17+$D17-$E17))</f>
        <v/>
      </c>
      <c r="G17" s="6" t="str">
        <f aca="false">IF($A17="","",MAX($C17,$E17))</f>
        <v/>
      </c>
      <c r="H17" s="5" t="str">
        <f aca="false">IF($A17="","",_xlfn.MINIFS(Recipes!$I$5:$I$104,Recipes!$A$5:$A$104,$A17,Recipes!$B$5:$B$104,"B"))</f>
        <v/>
      </c>
      <c r="I17" s="5" t="str">
        <f aca="false">IF($A17="","",$F17+$H17)</f>
        <v/>
      </c>
      <c r="J17" s="5" t="str">
        <f aca="false">IF($A17="","",IFERROR(INDEX(Recipes!$C$5:$C$104,MATCH($A17&amp;"|"&amp;$H17,Recipes!$M$5:$M$104,0)),""))</f>
        <v/>
      </c>
      <c r="K17" s="5" t="str">
        <f aca="false">IF($A17="","",COUNTIFS(Recipes!$C$5:$C$104,$A17,Recipes!$B$5:$B$104,"C"))</f>
        <v/>
      </c>
      <c r="L17" s="4"/>
    </row>
    <row r="18" customFormat="false" ht="15" hidden="false" customHeight="false" outlineLevel="0" collapsed="false">
      <c r="A18" s="4"/>
      <c r="B18" s="4"/>
      <c r="C18" s="5" t="str">
        <f aca="false">IF($A18="","",SUMIFS(Movements!$D$5:$D$304,Movements!$C$5:$C$304,$A18,Movements!$B$5:$B$304,"Build"))</f>
        <v/>
      </c>
      <c r="D18" s="5" t="str">
        <f aca="false">IF($A18="","",SUMIFS(Movements!$D$5:$D$304,Movements!$C$5:$C$304,$A18,Movements!$B$5:$B$304,"Adjust"))</f>
        <v/>
      </c>
      <c r="E18" s="5" t="str">
        <f aca="false">IF($A18="","",SUMIFS(Recipes!$H$5:$H$104,Recipes!$C$5:$C$104,$A18,Recipes!$B$5:$B$104,"C"))</f>
        <v/>
      </c>
      <c r="F18" s="5" t="str">
        <f aca="false">IF($A18="","",MAX(0,$C18+$D18-$E18))</f>
        <v/>
      </c>
      <c r="G18" s="6" t="str">
        <f aca="false">IF($A18="","",MAX($C18,$E18))</f>
        <v/>
      </c>
      <c r="H18" s="5" t="str">
        <f aca="false">IF($A18="","",_xlfn.MINIFS(Recipes!$I$5:$I$104,Recipes!$A$5:$A$104,$A18,Recipes!$B$5:$B$104,"B"))</f>
        <v/>
      </c>
      <c r="I18" s="5" t="str">
        <f aca="false">IF($A18="","",$F18+$H18)</f>
        <v/>
      </c>
      <c r="J18" s="5" t="str">
        <f aca="false">IF($A18="","",IFERROR(INDEX(Recipes!$C$5:$C$104,MATCH($A18&amp;"|"&amp;$H18,Recipes!$M$5:$M$104,0)),""))</f>
        <v/>
      </c>
      <c r="K18" s="5" t="str">
        <f aca="false">IF($A18="","",COUNTIFS(Recipes!$C$5:$C$104,$A18,Recipes!$B$5:$B$104,"C"))</f>
        <v/>
      </c>
      <c r="L18" s="4"/>
    </row>
    <row r="19" customFormat="false" ht="15" hidden="false" customHeight="false" outlineLevel="0" collapsed="false">
      <c r="A19" s="4"/>
      <c r="B19" s="4"/>
      <c r="C19" s="5" t="str">
        <f aca="false">IF($A19="","",SUMIFS(Movements!$D$5:$D$304,Movements!$C$5:$C$304,$A19,Movements!$B$5:$B$304,"Build"))</f>
        <v/>
      </c>
      <c r="D19" s="5" t="str">
        <f aca="false">IF($A19="","",SUMIFS(Movements!$D$5:$D$304,Movements!$C$5:$C$304,$A19,Movements!$B$5:$B$304,"Adjust"))</f>
        <v/>
      </c>
      <c r="E19" s="5" t="str">
        <f aca="false">IF($A19="","",SUMIFS(Recipes!$H$5:$H$104,Recipes!$C$5:$C$104,$A19,Recipes!$B$5:$B$104,"C"))</f>
        <v/>
      </c>
      <c r="F19" s="5" t="str">
        <f aca="false">IF($A19="","",MAX(0,$C19+$D19-$E19))</f>
        <v/>
      </c>
      <c r="G19" s="6" t="str">
        <f aca="false">IF($A19="","",MAX($C19,$E19))</f>
        <v/>
      </c>
      <c r="H19" s="5" t="str">
        <f aca="false">IF($A19="","",_xlfn.MINIFS(Recipes!$I$5:$I$104,Recipes!$A$5:$A$104,$A19,Recipes!$B$5:$B$104,"B"))</f>
        <v/>
      </c>
      <c r="I19" s="5" t="str">
        <f aca="false">IF($A19="","",$F19+$H19)</f>
        <v/>
      </c>
      <c r="J19" s="5" t="str">
        <f aca="false">IF($A19="","",IFERROR(INDEX(Recipes!$C$5:$C$104,MATCH($A19&amp;"|"&amp;$H19,Recipes!$M$5:$M$104,0)),""))</f>
        <v/>
      </c>
      <c r="K19" s="5" t="str">
        <f aca="false">IF($A19="","",COUNTIFS(Recipes!$C$5:$C$104,$A19,Recipes!$B$5:$B$104,"C"))</f>
        <v/>
      </c>
      <c r="L19" s="4"/>
    </row>
    <row r="20" customFormat="false" ht="15" hidden="false" customHeight="false" outlineLevel="0" collapsed="false">
      <c r="A20" s="4"/>
      <c r="B20" s="4"/>
      <c r="C20" s="5" t="str">
        <f aca="false">IF($A20="","",SUMIFS(Movements!$D$5:$D$304,Movements!$C$5:$C$304,$A20,Movements!$B$5:$B$304,"Build"))</f>
        <v/>
      </c>
      <c r="D20" s="5" t="str">
        <f aca="false">IF($A20="","",SUMIFS(Movements!$D$5:$D$304,Movements!$C$5:$C$304,$A20,Movements!$B$5:$B$304,"Adjust"))</f>
        <v/>
      </c>
      <c r="E20" s="5" t="str">
        <f aca="false">IF($A20="","",SUMIFS(Recipes!$H$5:$H$104,Recipes!$C$5:$C$104,$A20,Recipes!$B$5:$B$104,"C"))</f>
        <v/>
      </c>
      <c r="F20" s="5" t="str">
        <f aca="false">IF($A20="","",MAX(0,$C20+$D20-$E20))</f>
        <v/>
      </c>
      <c r="G20" s="6" t="str">
        <f aca="false">IF($A20="","",MAX($C20,$E20))</f>
        <v/>
      </c>
      <c r="H20" s="5" t="str">
        <f aca="false">IF($A20="","",_xlfn.MINIFS(Recipes!$I$5:$I$104,Recipes!$A$5:$A$104,$A20,Recipes!$B$5:$B$104,"B"))</f>
        <v/>
      </c>
      <c r="I20" s="5" t="str">
        <f aca="false">IF($A20="","",$F20+$H20)</f>
        <v/>
      </c>
      <c r="J20" s="5" t="str">
        <f aca="false">IF($A20="","",IFERROR(INDEX(Recipes!$C$5:$C$104,MATCH($A20&amp;"|"&amp;$H20,Recipes!$M$5:$M$104,0)),""))</f>
        <v/>
      </c>
      <c r="K20" s="5" t="str">
        <f aca="false">IF($A20="","",COUNTIFS(Recipes!$C$5:$C$104,$A20,Recipes!$B$5:$B$104,"C"))</f>
        <v/>
      </c>
      <c r="L20" s="4"/>
    </row>
    <row r="21" customFormat="false" ht="15" hidden="false" customHeight="false" outlineLevel="0" collapsed="false">
      <c r="A21" s="4"/>
      <c r="B21" s="4"/>
      <c r="C21" s="5" t="str">
        <f aca="false">IF($A21="","",SUMIFS(Movements!$D$5:$D$304,Movements!$C$5:$C$304,$A21,Movements!$B$5:$B$304,"Build"))</f>
        <v/>
      </c>
      <c r="D21" s="5" t="str">
        <f aca="false">IF($A21="","",SUMIFS(Movements!$D$5:$D$304,Movements!$C$5:$C$304,$A21,Movements!$B$5:$B$304,"Adjust"))</f>
        <v/>
      </c>
      <c r="E21" s="5" t="str">
        <f aca="false">IF($A21="","",SUMIFS(Recipes!$H$5:$H$104,Recipes!$C$5:$C$104,$A21,Recipes!$B$5:$B$104,"C"))</f>
        <v/>
      </c>
      <c r="F21" s="5" t="str">
        <f aca="false">IF($A21="","",MAX(0,$C21+$D21-$E21))</f>
        <v/>
      </c>
      <c r="G21" s="6" t="str">
        <f aca="false">IF($A21="","",MAX($C21,$E21))</f>
        <v/>
      </c>
      <c r="H21" s="5" t="str">
        <f aca="false">IF($A21="","",_xlfn.MINIFS(Recipes!$I$5:$I$104,Recipes!$A$5:$A$104,$A21,Recipes!$B$5:$B$104,"B"))</f>
        <v/>
      </c>
      <c r="I21" s="5" t="str">
        <f aca="false">IF($A21="","",$F21+$H21)</f>
        <v/>
      </c>
      <c r="J21" s="5" t="str">
        <f aca="false">IF($A21="","",IFERROR(INDEX(Recipes!$C$5:$C$104,MATCH($A21&amp;"|"&amp;$H21,Recipes!$M$5:$M$104,0)),""))</f>
        <v/>
      </c>
      <c r="K21" s="5" t="str">
        <f aca="false">IF($A21="","",COUNTIFS(Recipes!$C$5:$C$104,$A21,Recipes!$B$5:$B$104,"C"))</f>
        <v/>
      </c>
      <c r="L21" s="4"/>
    </row>
    <row r="22" customFormat="false" ht="15" hidden="false" customHeight="false" outlineLevel="0" collapsed="false">
      <c r="A22" s="4"/>
      <c r="B22" s="4"/>
      <c r="C22" s="5" t="str">
        <f aca="false">IF($A22="","",SUMIFS(Movements!$D$5:$D$304,Movements!$C$5:$C$304,$A22,Movements!$B$5:$B$304,"Build"))</f>
        <v/>
      </c>
      <c r="D22" s="5" t="str">
        <f aca="false">IF($A22="","",SUMIFS(Movements!$D$5:$D$304,Movements!$C$5:$C$304,$A22,Movements!$B$5:$B$304,"Adjust"))</f>
        <v/>
      </c>
      <c r="E22" s="5" t="str">
        <f aca="false">IF($A22="","",SUMIFS(Recipes!$H$5:$H$104,Recipes!$C$5:$C$104,$A22,Recipes!$B$5:$B$104,"C"))</f>
        <v/>
      </c>
      <c r="F22" s="5" t="str">
        <f aca="false">IF($A22="","",MAX(0,$C22+$D22-$E22))</f>
        <v/>
      </c>
      <c r="G22" s="6" t="str">
        <f aca="false">IF($A22="","",MAX($C22,$E22))</f>
        <v/>
      </c>
      <c r="H22" s="5" t="str">
        <f aca="false">IF($A22="","",_xlfn.MINIFS(Recipes!$I$5:$I$104,Recipes!$A$5:$A$104,$A22,Recipes!$B$5:$B$104,"B"))</f>
        <v/>
      </c>
      <c r="I22" s="5" t="str">
        <f aca="false">IF($A22="","",$F22+$H22)</f>
        <v/>
      </c>
      <c r="J22" s="5" t="str">
        <f aca="false">IF($A22="","",IFERROR(INDEX(Recipes!$C$5:$C$104,MATCH($A22&amp;"|"&amp;$H22,Recipes!$M$5:$M$104,0)),""))</f>
        <v/>
      </c>
      <c r="K22" s="5" t="str">
        <f aca="false">IF($A22="","",COUNTIFS(Recipes!$C$5:$C$104,$A22,Recipes!$B$5:$B$104,"C"))</f>
        <v/>
      </c>
      <c r="L22" s="4"/>
    </row>
    <row r="23" customFormat="false" ht="15" hidden="false" customHeight="false" outlineLevel="0" collapsed="false">
      <c r="A23" s="4"/>
      <c r="B23" s="4"/>
      <c r="C23" s="5" t="str">
        <f aca="false">IF($A23="","",SUMIFS(Movements!$D$5:$D$304,Movements!$C$5:$C$304,$A23,Movements!$B$5:$B$304,"Build"))</f>
        <v/>
      </c>
      <c r="D23" s="5" t="str">
        <f aca="false">IF($A23="","",SUMIFS(Movements!$D$5:$D$304,Movements!$C$5:$C$304,$A23,Movements!$B$5:$B$304,"Adjust"))</f>
        <v/>
      </c>
      <c r="E23" s="5" t="str">
        <f aca="false">IF($A23="","",SUMIFS(Recipes!$H$5:$H$104,Recipes!$C$5:$C$104,$A23,Recipes!$B$5:$B$104,"C"))</f>
        <v/>
      </c>
      <c r="F23" s="5" t="str">
        <f aca="false">IF($A23="","",MAX(0,$C23+$D23-$E23))</f>
        <v/>
      </c>
      <c r="G23" s="6" t="str">
        <f aca="false">IF($A23="","",MAX($C23,$E23))</f>
        <v/>
      </c>
      <c r="H23" s="5" t="str">
        <f aca="false">IF($A23="","",_xlfn.MINIFS(Recipes!$I$5:$I$104,Recipes!$A$5:$A$104,$A23,Recipes!$B$5:$B$104,"B"))</f>
        <v/>
      </c>
      <c r="I23" s="5" t="str">
        <f aca="false">IF($A23="","",$F23+$H23)</f>
        <v/>
      </c>
      <c r="J23" s="5" t="str">
        <f aca="false">IF($A23="","",IFERROR(INDEX(Recipes!$C$5:$C$104,MATCH($A23&amp;"|"&amp;$H23,Recipes!$M$5:$M$104,0)),""))</f>
        <v/>
      </c>
      <c r="K23" s="5" t="str">
        <f aca="false">IF($A23="","",COUNTIFS(Recipes!$C$5:$C$104,$A23,Recipes!$B$5:$B$104,"C"))</f>
        <v/>
      </c>
      <c r="L23" s="4"/>
    </row>
    <row r="24" customFormat="false" ht="15" hidden="false" customHeight="false" outlineLevel="0" collapsed="false">
      <c r="A24" s="4"/>
      <c r="B24" s="4"/>
      <c r="C24" s="5" t="str">
        <f aca="false">IF($A24="","",SUMIFS(Movements!$D$5:$D$304,Movements!$C$5:$C$304,$A24,Movements!$B$5:$B$304,"Build"))</f>
        <v/>
      </c>
      <c r="D24" s="5" t="str">
        <f aca="false">IF($A24="","",SUMIFS(Movements!$D$5:$D$304,Movements!$C$5:$C$304,$A24,Movements!$B$5:$B$304,"Adjust"))</f>
        <v/>
      </c>
      <c r="E24" s="5" t="str">
        <f aca="false">IF($A24="","",SUMIFS(Recipes!$H$5:$H$104,Recipes!$C$5:$C$104,$A24,Recipes!$B$5:$B$104,"C"))</f>
        <v/>
      </c>
      <c r="F24" s="5" t="str">
        <f aca="false">IF($A24="","",MAX(0,$C24+$D24-$E24))</f>
        <v/>
      </c>
      <c r="G24" s="6" t="str">
        <f aca="false">IF($A24="","",MAX($C24,$E24))</f>
        <v/>
      </c>
      <c r="H24" s="5" t="str">
        <f aca="false">IF($A24="","",_xlfn.MINIFS(Recipes!$I$5:$I$104,Recipes!$A$5:$A$104,$A24,Recipes!$B$5:$B$104,"B"))</f>
        <v/>
      </c>
      <c r="I24" s="5" t="str">
        <f aca="false">IF($A24="","",$F24+$H24)</f>
        <v/>
      </c>
      <c r="J24" s="5" t="str">
        <f aca="false">IF($A24="","",IFERROR(INDEX(Recipes!$C$5:$C$104,MATCH($A24&amp;"|"&amp;$H24,Recipes!$M$5:$M$104,0)),""))</f>
        <v/>
      </c>
      <c r="K24" s="5" t="str">
        <f aca="false">IF($A24="","",COUNTIFS(Recipes!$C$5:$C$104,$A24,Recipes!$B$5:$B$104,"C"))</f>
        <v/>
      </c>
      <c r="L24" s="4"/>
    </row>
    <row r="25" customFormat="false" ht="15" hidden="false" customHeight="false" outlineLevel="0" collapsed="false">
      <c r="A25" s="4"/>
      <c r="B25" s="4"/>
      <c r="C25" s="5" t="str">
        <f aca="false">IF($A25="","",SUMIFS(Movements!$D$5:$D$304,Movements!$C$5:$C$304,$A25,Movements!$B$5:$B$304,"Build"))</f>
        <v/>
      </c>
      <c r="D25" s="5" t="str">
        <f aca="false">IF($A25="","",SUMIFS(Movements!$D$5:$D$304,Movements!$C$5:$C$304,$A25,Movements!$B$5:$B$304,"Adjust"))</f>
        <v/>
      </c>
      <c r="E25" s="5" t="str">
        <f aca="false">IF($A25="","",SUMIFS(Recipes!$H$5:$H$104,Recipes!$C$5:$C$104,$A25,Recipes!$B$5:$B$104,"C"))</f>
        <v/>
      </c>
      <c r="F25" s="5" t="str">
        <f aca="false">IF($A25="","",MAX(0,$C25+$D25-$E25))</f>
        <v/>
      </c>
      <c r="G25" s="6" t="str">
        <f aca="false">IF($A25="","",MAX($C25,$E25))</f>
        <v/>
      </c>
      <c r="H25" s="5" t="str">
        <f aca="false">IF($A25="","",_xlfn.MINIFS(Recipes!$I$5:$I$104,Recipes!$A$5:$A$104,$A25,Recipes!$B$5:$B$104,"B"))</f>
        <v/>
      </c>
      <c r="I25" s="5" t="str">
        <f aca="false">IF($A25="","",$F25+$H25)</f>
        <v/>
      </c>
      <c r="J25" s="5" t="str">
        <f aca="false">IF($A25="","",IFERROR(INDEX(Recipes!$C$5:$C$104,MATCH($A25&amp;"|"&amp;$H25,Recipes!$M$5:$M$104,0)),""))</f>
        <v/>
      </c>
      <c r="K25" s="5" t="str">
        <f aca="false">IF($A25="","",COUNTIFS(Recipes!$C$5:$C$104,$A25,Recipes!$B$5:$B$104,"C"))</f>
        <v/>
      </c>
      <c r="L25" s="4"/>
    </row>
    <row r="26" customFormat="false" ht="15" hidden="false" customHeight="false" outlineLevel="0" collapsed="false">
      <c r="A26" s="4"/>
      <c r="B26" s="4"/>
      <c r="C26" s="5" t="str">
        <f aca="false">IF($A26="","",SUMIFS(Movements!$D$5:$D$304,Movements!$C$5:$C$304,$A26,Movements!$B$5:$B$304,"Build"))</f>
        <v/>
      </c>
      <c r="D26" s="5" t="str">
        <f aca="false">IF($A26="","",SUMIFS(Movements!$D$5:$D$304,Movements!$C$5:$C$304,$A26,Movements!$B$5:$B$304,"Adjust"))</f>
        <v/>
      </c>
      <c r="E26" s="5" t="str">
        <f aca="false">IF($A26="","",SUMIFS(Recipes!$H$5:$H$104,Recipes!$C$5:$C$104,$A26,Recipes!$B$5:$B$104,"C"))</f>
        <v/>
      </c>
      <c r="F26" s="5" t="str">
        <f aca="false">IF($A26="","",MAX(0,$C26+$D26-$E26))</f>
        <v/>
      </c>
      <c r="G26" s="6" t="str">
        <f aca="false">IF($A26="","",MAX($C26,$E26))</f>
        <v/>
      </c>
      <c r="H26" s="5" t="str">
        <f aca="false">IF($A26="","",_xlfn.MINIFS(Recipes!$I$5:$I$104,Recipes!$A$5:$A$104,$A26,Recipes!$B$5:$B$104,"B"))</f>
        <v/>
      </c>
      <c r="I26" s="5" t="str">
        <f aca="false">IF($A26="","",$F26+$H26)</f>
        <v/>
      </c>
      <c r="J26" s="5" t="str">
        <f aca="false">IF($A26="","",IFERROR(INDEX(Recipes!$C$5:$C$104,MATCH($A26&amp;"|"&amp;$H26,Recipes!$M$5:$M$104,0)),""))</f>
        <v/>
      </c>
      <c r="K26" s="5" t="str">
        <f aca="false">IF($A26="","",COUNTIFS(Recipes!$C$5:$C$104,$A26,Recipes!$B$5:$B$104,"C"))</f>
        <v/>
      </c>
      <c r="L26" s="4"/>
    </row>
    <row r="27" customFormat="false" ht="15" hidden="false" customHeight="false" outlineLevel="0" collapsed="false">
      <c r="A27" s="4"/>
      <c r="B27" s="4"/>
      <c r="C27" s="5" t="str">
        <f aca="false">IF($A27="","",SUMIFS(Movements!$D$5:$D$304,Movements!$C$5:$C$304,$A27,Movements!$B$5:$B$304,"Build"))</f>
        <v/>
      </c>
      <c r="D27" s="5" t="str">
        <f aca="false">IF($A27="","",SUMIFS(Movements!$D$5:$D$304,Movements!$C$5:$C$304,$A27,Movements!$B$5:$B$304,"Adjust"))</f>
        <v/>
      </c>
      <c r="E27" s="5" t="str">
        <f aca="false">IF($A27="","",SUMIFS(Recipes!$H$5:$H$104,Recipes!$C$5:$C$104,$A27,Recipes!$B$5:$B$104,"C"))</f>
        <v/>
      </c>
      <c r="F27" s="5" t="str">
        <f aca="false">IF($A27="","",MAX(0,$C27+$D27-$E27))</f>
        <v/>
      </c>
      <c r="G27" s="6" t="str">
        <f aca="false">IF($A27="","",MAX($C27,$E27))</f>
        <v/>
      </c>
      <c r="H27" s="5" t="str">
        <f aca="false">IF($A27="","",_xlfn.MINIFS(Recipes!$I$5:$I$104,Recipes!$A$5:$A$104,$A27,Recipes!$B$5:$B$104,"B"))</f>
        <v/>
      </c>
      <c r="I27" s="5" t="str">
        <f aca="false">IF($A27="","",$F27+$H27)</f>
        <v/>
      </c>
      <c r="J27" s="5" t="str">
        <f aca="false">IF($A27="","",IFERROR(INDEX(Recipes!$C$5:$C$104,MATCH($A27&amp;"|"&amp;$H27,Recipes!$M$5:$M$104,0)),""))</f>
        <v/>
      </c>
      <c r="K27" s="5" t="str">
        <f aca="false">IF($A27="","",COUNTIFS(Recipes!$C$5:$C$104,$A27,Recipes!$B$5:$B$104,"C"))</f>
        <v/>
      </c>
      <c r="L27" s="4"/>
    </row>
    <row r="28" customFormat="false" ht="15" hidden="false" customHeight="false" outlineLevel="0" collapsed="false">
      <c r="A28" s="4"/>
      <c r="B28" s="4"/>
      <c r="C28" s="5" t="str">
        <f aca="false">IF($A28="","",SUMIFS(Movements!$D$5:$D$304,Movements!$C$5:$C$304,$A28,Movements!$B$5:$B$304,"Build"))</f>
        <v/>
      </c>
      <c r="D28" s="5" t="str">
        <f aca="false">IF($A28="","",SUMIFS(Movements!$D$5:$D$304,Movements!$C$5:$C$304,$A28,Movements!$B$5:$B$304,"Adjust"))</f>
        <v/>
      </c>
      <c r="E28" s="5" t="str">
        <f aca="false">IF($A28="","",SUMIFS(Recipes!$H$5:$H$104,Recipes!$C$5:$C$104,$A28,Recipes!$B$5:$B$104,"C"))</f>
        <v/>
      </c>
      <c r="F28" s="5" t="str">
        <f aca="false">IF($A28="","",MAX(0,$C28+$D28-$E28))</f>
        <v/>
      </c>
      <c r="G28" s="6" t="str">
        <f aca="false">IF($A28="","",MAX($C28,$E28))</f>
        <v/>
      </c>
      <c r="H28" s="5" t="str">
        <f aca="false">IF($A28="","",_xlfn.MINIFS(Recipes!$I$5:$I$104,Recipes!$A$5:$A$104,$A28,Recipes!$B$5:$B$104,"B"))</f>
        <v/>
      </c>
      <c r="I28" s="5" t="str">
        <f aca="false">IF($A28="","",$F28+$H28)</f>
        <v/>
      </c>
      <c r="J28" s="5" t="str">
        <f aca="false">IF($A28="","",IFERROR(INDEX(Recipes!$C$5:$C$104,MATCH($A28&amp;"|"&amp;$H28,Recipes!$M$5:$M$104,0)),""))</f>
        <v/>
      </c>
      <c r="K28" s="5" t="str">
        <f aca="false">IF($A28="","",COUNTIFS(Recipes!$C$5:$C$104,$A28,Recipes!$B$5:$B$104,"C"))</f>
        <v/>
      </c>
      <c r="L28" s="4"/>
    </row>
    <row r="29" customFormat="false" ht="15" hidden="false" customHeight="false" outlineLevel="0" collapsed="false">
      <c r="A29" s="4"/>
      <c r="B29" s="4"/>
      <c r="C29" s="5" t="str">
        <f aca="false">IF($A29="","",SUMIFS(Movements!$D$5:$D$304,Movements!$C$5:$C$304,$A29,Movements!$B$5:$B$304,"Build"))</f>
        <v/>
      </c>
      <c r="D29" s="5" t="str">
        <f aca="false">IF($A29="","",SUMIFS(Movements!$D$5:$D$304,Movements!$C$5:$C$304,$A29,Movements!$B$5:$B$304,"Adjust"))</f>
        <v/>
      </c>
      <c r="E29" s="5" t="str">
        <f aca="false">IF($A29="","",SUMIFS(Recipes!$H$5:$H$104,Recipes!$C$5:$C$104,$A29,Recipes!$B$5:$B$104,"C"))</f>
        <v/>
      </c>
      <c r="F29" s="5" t="str">
        <f aca="false">IF($A29="","",MAX(0,$C29+$D29-$E29))</f>
        <v/>
      </c>
      <c r="G29" s="6" t="str">
        <f aca="false">IF($A29="","",MAX($C29,$E29))</f>
        <v/>
      </c>
      <c r="H29" s="5" t="str">
        <f aca="false">IF($A29="","",_xlfn.MINIFS(Recipes!$I$5:$I$104,Recipes!$A$5:$A$104,$A29,Recipes!$B$5:$B$104,"B"))</f>
        <v/>
      </c>
      <c r="I29" s="5" t="str">
        <f aca="false">IF($A29="","",$F29+$H29)</f>
        <v/>
      </c>
      <c r="J29" s="5" t="str">
        <f aca="false">IF($A29="","",IFERROR(INDEX(Recipes!$C$5:$C$104,MATCH($A29&amp;"|"&amp;$H29,Recipes!$M$5:$M$104,0)),""))</f>
        <v/>
      </c>
      <c r="K29" s="5" t="str">
        <f aca="false">IF($A29="","",COUNTIFS(Recipes!$C$5:$C$104,$A29,Recipes!$B$5:$B$104,"C"))</f>
        <v/>
      </c>
      <c r="L29" s="4"/>
    </row>
    <row r="30" customFormat="false" ht="15" hidden="false" customHeight="false" outlineLevel="0" collapsed="false">
      <c r="A30" s="4"/>
      <c r="B30" s="4"/>
      <c r="C30" s="5" t="str">
        <f aca="false">IF($A30="","",SUMIFS(Movements!$D$5:$D$304,Movements!$C$5:$C$304,$A30,Movements!$B$5:$B$304,"Build"))</f>
        <v/>
      </c>
      <c r="D30" s="5" t="str">
        <f aca="false">IF($A30="","",SUMIFS(Movements!$D$5:$D$304,Movements!$C$5:$C$304,$A30,Movements!$B$5:$B$304,"Adjust"))</f>
        <v/>
      </c>
      <c r="E30" s="5" t="str">
        <f aca="false">IF($A30="","",SUMIFS(Recipes!$H$5:$H$104,Recipes!$C$5:$C$104,$A30,Recipes!$B$5:$B$104,"C"))</f>
        <v/>
      </c>
      <c r="F30" s="5" t="str">
        <f aca="false">IF($A30="","",MAX(0,$C30+$D30-$E30))</f>
        <v/>
      </c>
      <c r="G30" s="6" t="str">
        <f aca="false">IF($A30="","",MAX($C30,$E30))</f>
        <v/>
      </c>
      <c r="H30" s="5" t="str">
        <f aca="false">IF($A30="","",_xlfn.MINIFS(Recipes!$I$5:$I$104,Recipes!$A$5:$A$104,$A30,Recipes!$B$5:$B$104,"B"))</f>
        <v/>
      </c>
      <c r="I30" s="5" t="str">
        <f aca="false">IF($A30="","",$F30+$H30)</f>
        <v/>
      </c>
      <c r="J30" s="5" t="str">
        <f aca="false">IF($A30="","",IFERROR(INDEX(Recipes!$C$5:$C$104,MATCH($A30&amp;"|"&amp;$H30,Recipes!$M$5:$M$104,0)),""))</f>
        <v/>
      </c>
      <c r="K30" s="5" t="str">
        <f aca="false">IF($A30="","",COUNTIFS(Recipes!$C$5:$C$104,$A30,Recipes!$B$5:$B$104,"C"))</f>
        <v/>
      </c>
      <c r="L30" s="4"/>
    </row>
    <row r="31" customFormat="false" ht="15" hidden="false" customHeight="false" outlineLevel="0" collapsed="false">
      <c r="A31" s="4"/>
      <c r="B31" s="4"/>
      <c r="C31" s="5" t="str">
        <f aca="false">IF($A31="","",SUMIFS(Movements!$D$5:$D$304,Movements!$C$5:$C$304,$A31,Movements!$B$5:$B$304,"Build"))</f>
        <v/>
      </c>
      <c r="D31" s="5" t="str">
        <f aca="false">IF($A31="","",SUMIFS(Movements!$D$5:$D$304,Movements!$C$5:$C$304,$A31,Movements!$B$5:$B$304,"Adjust"))</f>
        <v/>
      </c>
      <c r="E31" s="5" t="str">
        <f aca="false">IF($A31="","",SUMIFS(Recipes!$H$5:$H$104,Recipes!$C$5:$C$104,$A31,Recipes!$B$5:$B$104,"C"))</f>
        <v/>
      </c>
      <c r="F31" s="5" t="str">
        <f aca="false">IF($A31="","",MAX(0,$C31+$D31-$E31))</f>
        <v/>
      </c>
      <c r="G31" s="6" t="str">
        <f aca="false">IF($A31="","",MAX($C31,$E31))</f>
        <v/>
      </c>
      <c r="H31" s="5" t="str">
        <f aca="false">IF($A31="","",_xlfn.MINIFS(Recipes!$I$5:$I$104,Recipes!$A$5:$A$104,$A31,Recipes!$B$5:$B$104,"B"))</f>
        <v/>
      </c>
      <c r="I31" s="5" t="str">
        <f aca="false">IF($A31="","",$F31+$H31)</f>
        <v/>
      </c>
      <c r="J31" s="5" t="str">
        <f aca="false">IF($A31="","",IFERROR(INDEX(Recipes!$C$5:$C$104,MATCH($A31&amp;"|"&amp;$H31,Recipes!$M$5:$M$104,0)),""))</f>
        <v/>
      </c>
      <c r="K31" s="5" t="str">
        <f aca="false">IF($A31="","",COUNTIFS(Recipes!$C$5:$C$104,$A31,Recipes!$B$5:$B$104,"C"))</f>
        <v/>
      </c>
      <c r="L31" s="4"/>
    </row>
    <row r="32" customFormat="false" ht="15" hidden="false" customHeight="false" outlineLevel="0" collapsed="false">
      <c r="A32" s="4"/>
      <c r="B32" s="4"/>
      <c r="C32" s="5" t="str">
        <f aca="false">IF($A32="","",SUMIFS(Movements!$D$5:$D$304,Movements!$C$5:$C$304,$A32,Movements!$B$5:$B$304,"Build"))</f>
        <v/>
      </c>
      <c r="D32" s="5" t="str">
        <f aca="false">IF($A32="","",SUMIFS(Movements!$D$5:$D$304,Movements!$C$5:$C$304,$A32,Movements!$B$5:$B$304,"Adjust"))</f>
        <v/>
      </c>
      <c r="E32" s="5" t="str">
        <f aca="false">IF($A32="","",SUMIFS(Recipes!$H$5:$H$104,Recipes!$C$5:$C$104,$A32,Recipes!$B$5:$B$104,"C"))</f>
        <v/>
      </c>
      <c r="F32" s="5" t="str">
        <f aca="false">IF($A32="","",MAX(0,$C32+$D32-$E32))</f>
        <v/>
      </c>
      <c r="G32" s="6" t="str">
        <f aca="false">IF($A32="","",MAX($C32,$E32))</f>
        <v/>
      </c>
      <c r="H32" s="5" t="str">
        <f aca="false">IF($A32="","",_xlfn.MINIFS(Recipes!$I$5:$I$104,Recipes!$A$5:$A$104,$A32,Recipes!$B$5:$B$104,"B"))</f>
        <v/>
      </c>
      <c r="I32" s="5" t="str">
        <f aca="false">IF($A32="","",$F32+$H32)</f>
        <v/>
      </c>
      <c r="J32" s="5" t="str">
        <f aca="false">IF($A32="","",IFERROR(INDEX(Recipes!$C$5:$C$104,MATCH($A32&amp;"|"&amp;$H32,Recipes!$M$5:$M$104,0)),""))</f>
        <v/>
      </c>
      <c r="K32" s="5" t="str">
        <f aca="false">IF($A32="","",COUNTIFS(Recipes!$C$5:$C$104,$A32,Recipes!$B$5:$B$104,"C"))</f>
        <v/>
      </c>
      <c r="L32" s="4"/>
    </row>
    <row r="33" customFormat="false" ht="15" hidden="false" customHeight="false" outlineLevel="0" collapsed="false">
      <c r="A33" s="4"/>
      <c r="B33" s="4"/>
      <c r="C33" s="5" t="str">
        <f aca="false">IF($A33="","",SUMIFS(Movements!$D$5:$D$304,Movements!$C$5:$C$304,$A33,Movements!$B$5:$B$304,"Build"))</f>
        <v/>
      </c>
      <c r="D33" s="5" t="str">
        <f aca="false">IF($A33="","",SUMIFS(Movements!$D$5:$D$304,Movements!$C$5:$C$304,$A33,Movements!$B$5:$B$304,"Adjust"))</f>
        <v/>
      </c>
      <c r="E33" s="5" t="str">
        <f aca="false">IF($A33="","",SUMIFS(Recipes!$H$5:$H$104,Recipes!$C$5:$C$104,$A33,Recipes!$B$5:$B$104,"C"))</f>
        <v/>
      </c>
      <c r="F33" s="5" t="str">
        <f aca="false">IF($A33="","",MAX(0,$C33+$D33-$E33))</f>
        <v/>
      </c>
      <c r="G33" s="6" t="str">
        <f aca="false">IF($A33="","",MAX($C33,$E33))</f>
        <v/>
      </c>
      <c r="H33" s="5" t="str">
        <f aca="false">IF($A33="","",_xlfn.MINIFS(Recipes!$I$5:$I$104,Recipes!$A$5:$A$104,$A33,Recipes!$B$5:$B$104,"B"))</f>
        <v/>
      </c>
      <c r="I33" s="5" t="str">
        <f aca="false">IF($A33="","",$F33+$H33)</f>
        <v/>
      </c>
      <c r="J33" s="5" t="str">
        <f aca="false">IF($A33="","",IFERROR(INDEX(Recipes!$C$5:$C$104,MATCH($A33&amp;"|"&amp;$H33,Recipes!$M$5:$M$104,0)),""))</f>
        <v/>
      </c>
      <c r="K33" s="5" t="str">
        <f aca="false">IF($A33="","",COUNTIFS(Recipes!$C$5:$C$104,$A33,Recipes!$B$5:$B$104,"C"))</f>
        <v/>
      </c>
      <c r="L33" s="4"/>
    </row>
    <row r="34" customFormat="false" ht="15" hidden="false" customHeight="false" outlineLevel="0" collapsed="false">
      <c r="A34" s="4"/>
      <c r="B34" s="4"/>
      <c r="C34" s="5" t="str">
        <f aca="false">IF($A34="","",SUMIFS(Movements!$D$5:$D$304,Movements!$C$5:$C$304,$A34,Movements!$B$5:$B$304,"Build"))</f>
        <v/>
      </c>
      <c r="D34" s="5" t="str">
        <f aca="false">IF($A34="","",SUMIFS(Movements!$D$5:$D$304,Movements!$C$5:$C$304,$A34,Movements!$B$5:$B$304,"Adjust"))</f>
        <v/>
      </c>
      <c r="E34" s="5" t="str">
        <f aca="false">IF($A34="","",SUMIFS(Recipes!$H$5:$H$104,Recipes!$C$5:$C$104,$A34,Recipes!$B$5:$B$104,"C"))</f>
        <v/>
      </c>
      <c r="F34" s="5" t="str">
        <f aca="false">IF($A34="","",MAX(0,$C34+$D34-$E34))</f>
        <v/>
      </c>
      <c r="G34" s="6" t="str">
        <f aca="false">IF($A34="","",MAX($C34,$E34))</f>
        <v/>
      </c>
      <c r="H34" s="5" t="str">
        <f aca="false">IF($A34="","",_xlfn.MINIFS(Recipes!$I$5:$I$104,Recipes!$A$5:$A$104,$A34,Recipes!$B$5:$B$104,"B"))</f>
        <v/>
      </c>
      <c r="I34" s="5" t="str">
        <f aca="false">IF($A34="","",$F34+$H34)</f>
        <v/>
      </c>
      <c r="J34" s="5" t="str">
        <f aca="false">IF($A34="","",IFERROR(INDEX(Recipes!$C$5:$C$104,MATCH($A34&amp;"|"&amp;$H34,Recipes!$M$5:$M$104,0)),""))</f>
        <v/>
      </c>
      <c r="K34" s="5" t="str">
        <f aca="false">IF($A34="","",COUNTIFS(Recipes!$C$5:$C$104,$A34,Recipes!$B$5:$B$104,"C"))</f>
        <v/>
      </c>
      <c r="L34" s="4"/>
    </row>
    <row r="35" customFormat="false" ht="15" hidden="false" customHeight="false" outlineLevel="0" collapsed="false">
      <c r="A35" s="4"/>
      <c r="B35" s="4"/>
      <c r="C35" s="5" t="str">
        <f aca="false">IF($A35="","",SUMIFS(Movements!$D$5:$D$304,Movements!$C$5:$C$304,$A35,Movements!$B$5:$B$304,"Build"))</f>
        <v/>
      </c>
      <c r="D35" s="5" t="str">
        <f aca="false">IF($A35="","",SUMIFS(Movements!$D$5:$D$304,Movements!$C$5:$C$304,$A35,Movements!$B$5:$B$304,"Adjust"))</f>
        <v/>
      </c>
      <c r="E35" s="5" t="str">
        <f aca="false">IF($A35="","",SUMIFS(Recipes!$H$5:$H$104,Recipes!$C$5:$C$104,$A35,Recipes!$B$5:$B$104,"C"))</f>
        <v/>
      </c>
      <c r="F35" s="5" t="str">
        <f aca="false">IF($A35="","",MAX(0,$C35+$D35-$E35))</f>
        <v/>
      </c>
      <c r="G35" s="6" t="str">
        <f aca="false">IF($A35="","",MAX($C35,$E35))</f>
        <v/>
      </c>
      <c r="H35" s="5" t="str">
        <f aca="false">IF($A35="","",_xlfn.MINIFS(Recipes!$I$5:$I$104,Recipes!$A$5:$A$104,$A35,Recipes!$B$5:$B$104,"B"))</f>
        <v/>
      </c>
      <c r="I35" s="5" t="str">
        <f aca="false">IF($A35="","",$F35+$H35)</f>
        <v/>
      </c>
      <c r="J35" s="5" t="str">
        <f aca="false">IF($A35="","",IFERROR(INDEX(Recipes!$C$5:$C$104,MATCH($A35&amp;"|"&amp;$H35,Recipes!$M$5:$M$104,0)),""))</f>
        <v/>
      </c>
      <c r="K35" s="5" t="str">
        <f aca="false">IF($A35="","",COUNTIFS(Recipes!$C$5:$C$104,$A35,Recipes!$B$5:$B$104,"C"))</f>
        <v/>
      </c>
      <c r="L35" s="4"/>
    </row>
    <row r="36" customFormat="false" ht="15" hidden="false" customHeight="false" outlineLevel="0" collapsed="false">
      <c r="A36" s="4"/>
      <c r="B36" s="4"/>
      <c r="C36" s="5" t="str">
        <f aca="false">IF($A36="","",SUMIFS(Movements!$D$5:$D$304,Movements!$C$5:$C$304,$A36,Movements!$B$5:$B$304,"Build"))</f>
        <v/>
      </c>
      <c r="D36" s="5" t="str">
        <f aca="false">IF($A36="","",SUMIFS(Movements!$D$5:$D$304,Movements!$C$5:$C$304,$A36,Movements!$B$5:$B$304,"Adjust"))</f>
        <v/>
      </c>
      <c r="E36" s="5" t="str">
        <f aca="false">IF($A36="","",SUMIFS(Recipes!$H$5:$H$104,Recipes!$C$5:$C$104,$A36,Recipes!$B$5:$B$104,"C"))</f>
        <v/>
      </c>
      <c r="F36" s="5" t="str">
        <f aca="false">IF($A36="","",MAX(0,$C36+$D36-$E36))</f>
        <v/>
      </c>
      <c r="G36" s="6" t="str">
        <f aca="false">IF($A36="","",MAX($C36,$E36))</f>
        <v/>
      </c>
      <c r="H36" s="5" t="str">
        <f aca="false">IF($A36="","",_xlfn.MINIFS(Recipes!$I$5:$I$104,Recipes!$A$5:$A$104,$A36,Recipes!$B$5:$B$104,"B"))</f>
        <v/>
      </c>
      <c r="I36" s="5" t="str">
        <f aca="false">IF($A36="","",$F36+$H36)</f>
        <v/>
      </c>
      <c r="J36" s="5" t="str">
        <f aca="false">IF($A36="","",IFERROR(INDEX(Recipes!$C$5:$C$104,MATCH($A36&amp;"|"&amp;$H36,Recipes!$M$5:$M$104,0)),""))</f>
        <v/>
      </c>
      <c r="K36" s="5" t="str">
        <f aca="false">IF($A36="","",COUNTIFS(Recipes!$C$5:$C$104,$A36,Recipes!$B$5:$B$104,"C"))</f>
        <v/>
      </c>
      <c r="L36" s="4"/>
    </row>
    <row r="37" customFormat="false" ht="15" hidden="false" customHeight="false" outlineLevel="0" collapsed="false">
      <c r="A37" s="4"/>
      <c r="B37" s="4"/>
      <c r="C37" s="5" t="str">
        <f aca="false">IF($A37="","",SUMIFS(Movements!$D$5:$D$304,Movements!$C$5:$C$304,$A37,Movements!$B$5:$B$304,"Build"))</f>
        <v/>
      </c>
      <c r="D37" s="5" t="str">
        <f aca="false">IF($A37="","",SUMIFS(Movements!$D$5:$D$304,Movements!$C$5:$C$304,$A37,Movements!$B$5:$B$304,"Adjust"))</f>
        <v/>
      </c>
      <c r="E37" s="5" t="str">
        <f aca="false">IF($A37="","",SUMIFS(Recipes!$H$5:$H$104,Recipes!$C$5:$C$104,$A37,Recipes!$B$5:$B$104,"C"))</f>
        <v/>
      </c>
      <c r="F37" s="5" t="str">
        <f aca="false">IF($A37="","",MAX(0,$C37+$D37-$E37))</f>
        <v/>
      </c>
      <c r="G37" s="6" t="str">
        <f aca="false">IF($A37="","",MAX($C37,$E37))</f>
        <v/>
      </c>
      <c r="H37" s="5" t="str">
        <f aca="false">IF($A37="","",_xlfn.MINIFS(Recipes!$I$5:$I$104,Recipes!$A$5:$A$104,$A37,Recipes!$B$5:$B$104,"B"))</f>
        <v/>
      </c>
      <c r="I37" s="5" t="str">
        <f aca="false">IF($A37="","",$F37+$H37)</f>
        <v/>
      </c>
      <c r="J37" s="5" t="str">
        <f aca="false">IF($A37="","",IFERROR(INDEX(Recipes!$C$5:$C$104,MATCH($A37&amp;"|"&amp;$H37,Recipes!$M$5:$M$104,0)),""))</f>
        <v/>
      </c>
      <c r="K37" s="5" t="str">
        <f aca="false">IF($A37="","",COUNTIFS(Recipes!$C$5:$C$104,$A37,Recipes!$B$5:$B$104,"C"))</f>
        <v/>
      </c>
      <c r="L37" s="4"/>
    </row>
    <row r="38" customFormat="false" ht="15" hidden="false" customHeight="false" outlineLevel="0" collapsed="false">
      <c r="A38" s="4"/>
      <c r="B38" s="4"/>
      <c r="C38" s="5" t="str">
        <f aca="false">IF($A38="","",SUMIFS(Movements!$D$5:$D$304,Movements!$C$5:$C$304,$A38,Movements!$B$5:$B$304,"Build"))</f>
        <v/>
      </c>
      <c r="D38" s="5" t="str">
        <f aca="false">IF($A38="","",SUMIFS(Movements!$D$5:$D$304,Movements!$C$5:$C$304,$A38,Movements!$B$5:$B$304,"Adjust"))</f>
        <v/>
      </c>
      <c r="E38" s="5" t="str">
        <f aca="false">IF($A38="","",SUMIFS(Recipes!$H$5:$H$104,Recipes!$C$5:$C$104,$A38,Recipes!$B$5:$B$104,"C"))</f>
        <v/>
      </c>
      <c r="F38" s="5" t="str">
        <f aca="false">IF($A38="","",MAX(0,$C38+$D38-$E38))</f>
        <v/>
      </c>
      <c r="G38" s="6" t="str">
        <f aca="false">IF($A38="","",MAX($C38,$E38))</f>
        <v/>
      </c>
      <c r="H38" s="5" t="str">
        <f aca="false">IF($A38="","",_xlfn.MINIFS(Recipes!$I$5:$I$104,Recipes!$A$5:$A$104,$A38,Recipes!$B$5:$B$104,"B"))</f>
        <v/>
      </c>
      <c r="I38" s="5" t="str">
        <f aca="false">IF($A38="","",$F38+$H38)</f>
        <v/>
      </c>
      <c r="J38" s="5" t="str">
        <f aca="false">IF($A38="","",IFERROR(INDEX(Recipes!$C$5:$C$104,MATCH($A38&amp;"|"&amp;$H38,Recipes!$M$5:$M$104,0)),""))</f>
        <v/>
      </c>
      <c r="K38" s="5" t="str">
        <f aca="false">IF($A38="","",COUNTIFS(Recipes!$C$5:$C$104,$A38,Recipes!$B$5:$B$104,"C"))</f>
        <v/>
      </c>
      <c r="L38" s="4"/>
    </row>
    <row r="39" customFormat="false" ht="15" hidden="false" customHeight="false" outlineLevel="0" collapsed="false">
      <c r="A39" s="4"/>
      <c r="B39" s="4"/>
      <c r="C39" s="5" t="str">
        <f aca="false">IF($A39="","",SUMIFS(Movements!$D$5:$D$304,Movements!$C$5:$C$304,$A39,Movements!$B$5:$B$304,"Build"))</f>
        <v/>
      </c>
      <c r="D39" s="5" t="str">
        <f aca="false">IF($A39="","",SUMIFS(Movements!$D$5:$D$304,Movements!$C$5:$C$304,$A39,Movements!$B$5:$B$304,"Adjust"))</f>
        <v/>
      </c>
      <c r="E39" s="5" t="str">
        <f aca="false">IF($A39="","",SUMIFS(Recipes!$H$5:$H$104,Recipes!$C$5:$C$104,$A39,Recipes!$B$5:$B$104,"C"))</f>
        <v/>
      </c>
      <c r="F39" s="5" t="str">
        <f aca="false">IF($A39="","",MAX(0,$C39+$D39-$E39))</f>
        <v/>
      </c>
      <c r="G39" s="6" t="str">
        <f aca="false">IF($A39="","",MAX($C39,$E39))</f>
        <v/>
      </c>
      <c r="H39" s="5" t="str">
        <f aca="false">IF($A39="","",_xlfn.MINIFS(Recipes!$I$5:$I$104,Recipes!$A$5:$A$104,$A39,Recipes!$B$5:$B$104,"B"))</f>
        <v/>
      </c>
      <c r="I39" s="5" t="str">
        <f aca="false">IF($A39="","",$F39+$H39)</f>
        <v/>
      </c>
      <c r="J39" s="5" t="str">
        <f aca="false">IF($A39="","",IFERROR(INDEX(Recipes!$C$5:$C$104,MATCH($A39&amp;"|"&amp;$H39,Recipes!$M$5:$M$104,0)),""))</f>
        <v/>
      </c>
      <c r="K39" s="5" t="str">
        <f aca="false">IF($A39="","",COUNTIFS(Recipes!$C$5:$C$104,$A39,Recipes!$B$5:$B$104,"C"))</f>
        <v/>
      </c>
      <c r="L39" s="4"/>
    </row>
    <row r="40" customFormat="false" ht="15" hidden="false" customHeight="false" outlineLevel="0" collapsed="false">
      <c r="A40" s="4"/>
      <c r="B40" s="4"/>
      <c r="C40" s="5" t="str">
        <f aca="false">IF($A40="","",SUMIFS(Movements!$D$5:$D$304,Movements!$C$5:$C$304,$A40,Movements!$B$5:$B$304,"Build"))</f>
        <v/>
      </c>
      <c r="D40" s="5" t="str">
        <f aca="false">IF($A40="","",SUMIFS(Movements!$D$5:$D$304,Movements!$C$5:$C$304,$A40,Movements!$B$5:$B$304,"Adjust"))</f>
        <v/>
      </c>
      <c r="E40" s="5" t="str">
        <f aca="false">IF($A40="","",SUMIFS(Recipes!$H$5:$H$104,Recipes!$C$5:$C$104,$A40,Recipes!$B$5:$B$104,"C"))</f>
        <v/>
      </c>
      <c r="F40" s="5" t="str">
        <f aca="false">IF($A40="","",MAX(0,$C40+$D40-$E40))</f>
        <v/>
      </c>
      <c r="G40" s="6" t="str">
        <f aca="false">IF($A40="","",MAX($C40,$E40))</f>
        <v/>
      </c>
      <c r="H40" s="5" t="str">
        <f aca="false">IF($A40="","",_xlfn.MINIFS(Recipes!$I$5:$I$104,Recipes!$A$5:$A$104,$A40,Recipes!$B$5:$B$104,"B"))</f>
        <v/>
      </c>
      <c r="I40" s="5" t="str">
        <f aca="false">IF($A40="","",$F40+$H40)</f>
        <v/>
      </c>
      <c r="J40" s="5" t="str">
        <f aca="false">IF($A40="","",IFERROR(INDEX(Recipes!$C$5:$C$104,MATCH($A40&amp;"|"&amp;$H40,Recipes!$M$5:$M$104,0)),""))</f>
        <v/>
      </c>
      <c r="K40" s="5" t="str">
        <f aca="false">IF($A40="","",COUNTIFS(Recipes!$C$5:$C$104,$A40,Recipes!$B$5:$B$104,"C"))</f>
        <v/>
      </c>
      <c r="L40" s="4"/>
    </row>
    <row r="41" customFormat="false" ht="15" hidden="false" customHeight="false" outlineLevel="0" collapsed="false">
      <c r="A41" s="4"/>
      <c r="B41" s="4"/>
      <c r="C41" s="5" t="str">
        <f aca="false">IF($A41="","",SUMIFS(Movements!$D$5:$D$304,Movements!$C$5:$C$304,$A41,Movements!$B$5:$B$304,"Build"))</f>
        <v/>
      </c>
      <c r="D41" s="5" t="str">
        <f aca="false">IF($A41="","",SUMIFS(Movements!$D$5:$D$304,Movements!$C$5:$C$304,$A41,Movements!$B$5:$B$304,"Adjust"))</f>
        <v/>
      </c>
      <c r="E41" s="5" t="str">
        <f aca="false">IF($A41="","",SUMIFS(Recipes!$H$5:$H$104,Recipes!$C$5:$C$104,$A41,Recipes!$B$5:$B$104,"C"))</f>
        <v/>
      </c>
      <c r="F41" s="5" t="str">
        <f aca="false">IF($A41="","",MAX(0,$C41+$D41-$E41))</f>
        <v/>
      </c>
      <c r="G41" s="6" t="str">
        <f aca="false">IF($A41="","",MAX($C41,$E41))</f>
        <v/>
      </c>
      <c r="H41" s="5" t="str">
        <f aca="false">IF($A41="","",_xlfn.MINIFS(Recipes!$I$5:$I$104,Recipes!$A$5:$A$104,$A41,Recipes!$B$5:$B$104,"B"))</f>
        <v/>
      </c>
      <c r="I41" s="5" t="str">
        <f aca="false">IF($A41="","",$F41+$H41)</f>
        <v/>
      </c>
      <c r="J41" s="5" t="str">
        <f aca="false">IF($A41="","",IFERROR(INDEX(Recipes!$C$5:$C$104,MATCH($A41&amp;"|"&amp;$H41,Recipes!$M$5:$M$104,0)),""))</f>
        <v/>
      </c>
      <c r="K41" s="5" t="str">
        <f aca="false">IF($A41="","",COUNTIFS(Recipes!$C$5:$C$104,$A41,Recipes!$B$5:$B$104,"C"))</f>
        <v/>
      </c>
      <c r="L41" s="4"/>
    </row>
    <row r="42" customFormat="false" ht="15" hidden="false" customHeight="false" outlineLevel="0" collapsed="false">
      <c r="A42" s="4"/>
      <c r="B42" s="4"/>
      <c r="C42" s="5" t="str">
        <f aca="false">IF($A42="","",SUMIFS(Movements!$D$5:$D$304,Movements!$C$5:$C$304,$A42,Movements!$B$5:$B$304,"Build"))</f>
        <v/>
      </c>
      <c r="D42" s="5" t="str">
        <f aca="false">IF($A42="","",SUMIFS(Movements!$D$5:$D$304,Movements!$C$5:$C$304,$A42,Movements!$B$5:$B$304,"Adjust"))</f>
        <v/>
      </c>
      <c r="E42" s="5" t="str">
        <f aca="false">IF($A42="","",SUMIFS(Recipes!$H$5:$H$104,Recipes!$C$5:$C$104,$A42,Recipes!$B$5:$B$104,"C"))</f>
        <v/>
      </c>
      <c r="F42" s="5" t="str">
        <f aca="false">IF($A42="","",MAX(0,$C42+$D42-$E42))</f>
        <v/>
      </c>
      <c r="G42" s="6" t="str">
        <f aca="false">IF($A42="","",MAX($C42,$E42))</f>
        <v/>
      </c>
      <c r="H42" s="5" t="str">
        <f aca="false">IF($A42="","",_xlfn.MINIFS(Recipes!$I$5:$I$104,Recipes!$A$5:$A$104,$A42,Recipes!$B$5:$B$104,"B"))</f>
        <v/>
      </c>
      <c r="I42" s="5" t="str">
        <f aca="false">IF($A42="","",$F42+$H42)</f>
        <v/>
      </c>
      <c r="J42" s="5" t="str">
        <f aca="false">IF($A42="","",IFERROR(INDEX(Recipes!$C$5:$C$104,MATCH($A42&amp;"|"&amp;$H42,Recipes!$M$5:$M$104,0)),""))</f>
        <v/>
      </c>
      <c r="K42" s="5" t="str">
        <f aca="false">IF($A42="","",COUNTIFS(Recipes!$C$5:$C$104,$A42,Recipes!$B$5:$B$104,"C"))</f>
        <v/>
      </c>
      <c r="L42" s="4"/>
    </row>
    <row r="43" customFormat="false" ht="15" hidden="false" customHeight="false" outlineLevel="0" collapsed="false">
      <c r="A43" s="4"/>
      <c r="B43" s="4"/>
      <c r="C43" s="5" t="str">
        <f aca="false">IF($A43="","",SUMIFS(Movements!$D$5:$D$304,Movements!$C$5:$C$304,$A43,Movements!$B$5:$B$304,"Build"))</f>
        <v/>
      </c>
      <c r="D43" s="5" t="str">
        <f aca="false">IF($A43="","",SUMIFS(Movements!$D$5:$D$304,Movements!$C$5:$C$304,$A43,Movements!$B$5:$B$304,"Adjust"))</f>
        <v/>
      </c>
      <c r="E43" s="5" t="str">
        <f aca="false">IF($A43="","",SUMIFS(Recipes!$H$5:$H$104,Recipes!$C$5:$C$104,$A43,Recipes!$B$5:$B$104,"C"))</f>
        <v/>
      </c>
      <c r="F43" s="5" t="str">
        <f aca="false">IF($A43="","",MAX(0,$C43+$D43-$E43))</f>
        <v/>
      </c>
      <c r="G43" s="6" t="str">
        <f aca="false">IF($A43="","",MAX($C43,$E43))</f>
        <v/>
      </c>
      <c r="H43" s="5" t="str">
        <f aca="false">IF($A43="","",_xlfn.MINIFS(Recipes!$I$5:$I$104,Recipes!$A$5:$A$104,$A43,Recipes!$B$5:$B$104,"B"))</f>
        <v/>
      </c>
      <c r="I43" s="5" t="str">
        <f aca="false">IF($A43="","",$F43+$H43)</f>
        <v/>
      </c>
      <c r="J43" s="5" t="str">
        <f aca="false">IF($A43="","",IFERROR(INDEX(Recipes!$C$5:$C$104,MATCH($A43&amp;"|"&amp;$H43,Recipes!$M$5:$M$104,0)),""))</f>
        <v/>
      </c>
      <c r="K43" s="5" t="str">
        <f aca="false">IF($A43="","",COUNTIFS(Recipes!$C$5:$C$104,$A43,Recipes!$B$5:$B$104,"C"))</f>
        <v/>
      </c>
      <c r="L43" s="4"/>
    </row>
    <row r="44" customFormat="false" ht="15" hidden="false" customHeight="false" outlineLevel="0" collapsed="false">
      <c r="A44" s="4"/>
      <c r="B44" s="4"/>
      <c r="C44" s="5" t="str">
        <f aca="false">IF($A44="","",SUMIFS(Movements!$D$5:$D$304,Movements!$C$5:$C$304,$A44,Movements!$B$5:$B$304,"Build"))</f>
        <v/>
      </c>
      <c r="D44" s="5" t="str">
        <f aca="false">IF($A44="","",SUMIFS(Movements!$D$5:$D$304,Movements!$C$5:$C$304,$A44,Movements!$B$5:$B$304,"Adjust"))</f>
        <v/>
      </c>
      <c r="E44" s="5" t="str">
        <f aca="false">IF($A44="","",SUMIFS(Recipes!$H$5:$H$104,Recipes!$C$5:$C$104,$A44,Recipes!$B$5:$B$104,"C"))</f>
        <v/>
      </c>
      <c r="F44" s="5" t="str">
        <f aca="false">IF($A44="","",MAX(0,$C44+$D44-$E44))</f>
        <v/>
      </c>
      <c r="G44" s="6" t="str">
        <f aca="false">IF($A44="","",MAX($C44,$E44))</f>
        <v/>
      </c>
      <c r="H44" s="5" t="str">
        <f aca="false">IF($A44="","",_xlfn.MINIFS(Recipes!$I$5:$I$104,Recipes!$A$5:$A$104,$A44,Recipes!$B$5:$B$104,"B"))</f>
        <v/>
      </c>
      <c r="I44" s="5" t="str">
        <f aca="false">IF($A44="","",$F44+$H44)</f>
        <v/>
      </c>
      <c r="J44" s="5" t="str">
        <f aca="false">IF($A44="","",IFERROR(INDEX(Recipes!$C$5:$C$104,MATCH($A44&amp;"|"&amp;$H44,Recipes!$M$5:$M$104,0)),""))</f>
        <v/>
      </c>
      <c r="K44" s="5" t="str">
        <f aca="false">IF($A44="","",COUNTIFS(Recipes!$C$5:$C$104,$A44,Recipes!$B$5:$B$104,"C"))</f>
        <v/>
      </c>
      <c r="L44" s="4"/>
    </row>
    <row r="45" customFormat="false" ht="15" hidden="false" customHeight="false" outlineLevel="0" collapsed="false">
      <c r="A45" s="4"/>
      <c r="B45" s="4"/>
      <c r="C45" s="5" t="str">
        <f aca="false">IF($A45="","",SUMIFS(Movements!$D$5:$D$304,Movements!$C$5:$C$304,$A45,Movements!$B$5:$B$304,"Build"))</f>
        <v/>
      </c>
      <c r="D45" s="5" t="str">
        <f aca="false">IF($A45="","",SUMIFS(Movements!$D$5:$D$304,Movements!$C$5:$C$304,$A45,Movements!$B$5:$B$304,"Adjust"))</f>
        <v/>
      </c>
      <c r="E45" s="5" t="str">
        <f aca="false">IF($A45="","",SUMIFS(Recipes!$H$5:$H$104,Recipes!$C$5:$C$104,$A45,Recipes!$B$5:$B$104,"C"))</f>
        <v/>
      </c>
      <c r="F45" s="5" t="str">
        <f aca="false">IF($A45="","",MAX(0,$C45+$D45-$E45))</f>
        <v/>
      </c>
      <c r="G45" s="6" t="str">
        <f aca="false">IF($A45="","",MAX($C45,$E45))</f>
        <v/>
      </c>
      <c r="H45" s="5" t="str">
        <f aca="false">IF($A45="","",_xlfn.MINIFS(Recipes!$I$5:$I$104,Recipes!$A$5:$A$104,$A45,Recipes!$B$5:$B$104,"B"))</f>
        <v/>
      </c>
      <c r="I45" s="5" t="str">
        <f aca="false">IF($A45="","",$F45+$H45)</f>
        <v/>
      </c>
      <c r="J45" s="5" t="str">
        <f aca="false">IF($A45="","",IFERROR(INDEX(Recipes!$C$5:$C$104,MATCH($A45&amp;"|"&amp;$H45,Recipes!$M$5:$M$104,0)),""))</f>
        <v/>
      </c>
      <c r="K45" s="5" t="str">
        <f aca="false">IF($A45="","",COUNTIFS(Recipes!$C$5:$C$104,$A45,Recipes!$B$5:$B$104,"C"))</f>
        <v/>
      </c>
      <c r="L45" s="4"/>
    </row>
    <row r="46" customFormat="false" ht="15" hidden="false" customHeight="false" outlineLevel="0" collapsed="false">
      <c r="A46" s="4"/>
      <c r="B46" s="4"/>
      <c r="C46" s="5" t="str">
        <f aca="false">IF($A46="","",SUMIFS(Movements!$D$5:$D$304,Movements!$C$5:$C$304,$A46,Movements!$B$5:$B$304,"Build"))</f>
        <v/>
      </c>
      <c r="D46" s="5" t="str">
        <f aca="false">IF($A46="","",SUMIFS(Movements!$D$5:$D$304,Movements!$C$5:$C$304,$A46,Movements!$B$5:$B$304,"Adjust"))</f>
        <v/>
      </c>
      <c r="E46" s="5" t="str">
        <f aca="false">IF($A46="","",SUMIFS(Recipes!$H$5:$H$104,Recipes!$C$5:$C$104,$A46,Recipes!$B$5:$B$104,"C"))</f>
        <v/>
      </c>
      <c r="F46" s="5" t="str">
        <f aca="false">IF($A46="","",MAX(0,$C46+$D46-$E46))</f>
        <v/>
      </c>
      <c r="G46" s="6" t="str">
        <f aca="false">IF($A46="","",MAX($C46,$E46))</f>
        <v/>
      </c>
      <c r="H46" s="5" t="str">
        <f aca="false">IF($A46="","",_xlfn.MINIFS(Recipes!$I$5:$I$104,Recipes!$A$5:$A$104,$A46,Recipes!$B$5:$B$104,"B"))</f>
        <v/>
      </c>
      <c r="I46" s="5" t="str">
        <f aca="false">IF($A46="","",$F46+$H46)</f>
        <v/>
      </c>
      <c r="J46" s="5" t="str">
        <f aca="false">IF($A46="","",IFERROR(INDEX(Recipes!$C$5:$C$104,MATCH($A46&amp;"|"&amp;$H46,Recipes!$M$5:$M$104,0)),""))</f>
        <v/>
      </c>
      <c r="K46" s="5" t="str">
        <f aca="false">IF($A46="","",COUNTIFS(Recipes!$C$5:$C$104,$A46,Recipes!$B$5:$B$104,"C"))</f>
        <v/>
      </c>
      <c r="L46" s="4"/>
    </row>
    <row r="47" customFormat="false" ht="15" hidden="false" customHeight="false" outlineLevel="0" collapsed="false">
      <c r="A47" s="4"/>
      <c r="B47" s="4"/>
      <c r="C47" s="5" t="str">
        <f aca="false">IF($A47="","",SUMIFS(Movements!$D$5:$D$304,Movements!$C$5:$C$304,$A47,Movements!$B$5:$B$304,"Build"))</f>
        <v/>
      </c>
      <c r="D47" s="5" t="str">
        <f aca="false">IF($A47="","",SUMIFS(Movements!$D$5:$D$304,Movements!$C$5:$C$304,$A47,Movements!$B$5:$B$304,"Adjust"))</f>
        <v/>
      </c>
      <c r="E47" s="5" t="str">
        <f aca="false">IF($A47="","",SUMIFS(Recipes!$H$5:$H$104,Recipes!$C$5:$C$104,$A47,Recipes!$B$5:$B$104,"C"))</f>
        <v/>
      </c>
      <c r="F47" s="5" t="str">
        <f aca="false">IF($A47="","",MAX(0,$C47+$D47-$E47))</f>
        <v/>
      </c>
      <c r="G47" s="6" t="str">
        <f aca="false">IF($A47="","",MAX($C47,$E47))</f>
        <v/>
      </c>
      <c r="H47" s="5" t="str">
        <f aca="false">IF($A47="","",_xlfn.MINIFS(Recipes!$I$5:$I$104,Recipes!$A$5:$A$104,$A47,Recipes!$B$5:$B$104,"B"))</f>
        <v/>
      </c>
      <c r="I47" s="5" t="str">
        <f aca="false">IF($A47="","",$F47+$H47)</f>
        <v/>
      </c>
      <c r="J47" s="5" t="str">
        <f aca="false">IF($A47="","",IFERROR(INDEX(Recipes!$C$5:$C$104,MATCH($A47&amp;"|"&amp;$H47,Recipes!$M$5:$M$104,0)),""))</f>
        <v/>
      </c>
      <c r="K47" s="5" t="str">
        <f aca="false">IF($A47="","",COUNTIFS(Recipes!$C$5:$C$104,$A47,Recipes!$B$5:$B$104,"C"))</f>
        <v/>
      </c>
      <c r="L47" s="4"/>
    </row>
    <row r="48" customFormat="false" ht="15" hidden="false" customHeight="false" outlineLevel="0" collapsed="false">
      <c r="A48" s="4"/>
      <c r="B48" s="4"/>
      <c r="C48" s="5" t="str">
        <f aca="false">IF($A48="","",SUMIFS(Movements!$D$5:$D$304,Movements!$C$5:$C$304,$A48,Movements!$B$5:$B$304,"Build"))</f>
        <v/>
      </c>
      <c r="D48" s="5" t="str">
        <f aca="false">IF($A48="","",SUMIFS(Movements!$D$5:$D$304,Movements!$C$5:$C$304,$A48,Movements!$B$5:$B$304,"Adjust"))</f>
        <v/>
      </c>
      <c r="E48" s="5" t="str">
        <f aca="false">IF($A48="","",SUMIFS(Recipes!$H$5:$H$104,Recipes!$C$5:$C$104,$A48,Recipes!$B$5:$B$104,"C"))</f>
        <v/>
      </c>
      <c r="F48" s="5" t="str">
        <f aca="false">IF($A48="","",MAX(0,$C48+$D48-$E48))</f>
        <v/>
      </c>
      <c r="G48" s="6" t="str">
        <f aca="false">IF($A48="","",MAX($C48,$E48))</f>
        <v/>
      </c>
      <c r="H48" s="5" t="str">
        <f aca="false">IF($A48="","",_xlfn.MINIFS(Recipes!$I$5:$I$104,Recipes!$A$5:$A$104,$A48,Recipes!$B$5:$B$104,"B"))</f>
        <v/>
      </c>
      <c r="I48" s="5" t="str">
        <f aca="false">IF($A48="","",$F48+$H48)</f>
        <v/>
      </c>
      <c r="J48" s="5" t="str">
        <f aca="false">IF($A48="","",IFERROR(INDEX(Recipes!$C$5:$C$104,MATCH($A48&amp;"|"&amp;$H48,Recipes!$M$5:$M$104,0)),""))</f>
        <v/>
      </c>
      <c r="K48" s="5" t="str">
        <f aca="false">IF($A48="","",COUNTIFS(Recipes!$C$5:$C$104,$A48,Recipes!$B$5:$B$104,"C"))</f>
        <v/>
      </c>
      <c r="L48" s="4"/>
    </row>
    <row r="49" customFormat="false" ht="15" hidden="false" customHeight="false" outlineLevel="0" collapsed="false">
      <c r="A49" s="4"/>
      <c r="B49" s="4"/>
      <c r="C49" s="5" t="str">
        <f aca="false">IF($A49="","",SUMIFS(Movements!$D$5:$D$304,Movements!$C$5:$C$304,$A49,Movements!$B$5:$B$304,"Build"))</f>
        <v/>
      </c>
      <c r="D49" s="5" t="str">
        <f aca="false">IF($A49="","",SUMIFS(Movements!$D$5:$D$304,Movements!$C$5:$C$304,$A49,Movements!$B$5:$B$304,"Adjust"))</f>
        <v/>
      </c>
      <c r="E49" s="5" t="str">
        <f aca="false">IF($A49="","",SUMIFS(Recipes!$H$5:$H$104,Recipes!$C$5:$C$104,$A49,Recipes!$B$5:$B$104,"C"))</f>
        <v/>
      </c>
      <c r="F49" s="5" t="str">
        <f aca="false">IF($A49="","",MAX(0,$C49+$D49-$E49))</f>
        <v/>
      </c>
      <c r="G49" s="6" t="str">
        <f aca="false">IF($A49="","",MAX($C49,$E49))</f>
        <v/>
      </c>
      <c r="H49" s="5" t="str">
        <f aca="false">IF($A49="","",_xlfn.MINIFS(Recipes!$I$5:$I$104,Recipes!$A$5:$A$104,$A49,Recipes!$B$5:$B$104,"B"))</f>
        <v/>
      </c>
      <c r="I49" s="5" t="str">
        <f aca="false">IF($A49="","",$F49+$H49)</f>
        <v/>
      </c>
      <c r="J49" s="5" t="str">
        <f aca="false">IF($A49="","",IFERROR(INDEX(Recipes!$C$5:$C$104,MATCH($A49&amp;"|"&amp;$H49,Recipes!$M$5:$M$104,0)),""))</f>
        <v/>
      </c>
      <c r="K49" s="5" t="str">
        <f aca="false">IF($A49="","",COUNTIFS(Recipes!$C$5:$C$104,$A49,Recipes!$B$5:$B$104,"C"))</f>
        <v/>
      </c>
      <c r="L49" s="4"/>
    </row>
    <row r="50" customFormat="false" ht="15" hidden="false" customHeight="false" outlineLevel="0" collapsed="false">
      <c r="A50" s="4"/>
      <c r="B50" s="4"/>
      <c r="C50" s="5" t="str">
        <f aca="false">IF($A50="","",SUMIFS(Movements!$D$5:$D$304,Movements!$C$5:$C$304,$A50,Movements!$B$5:$B$304,"Build"))</f>
        <v/>
      </c>
      <c r="D50" s="5" t="str">
        <f aca="false">IF($A50="","",SUMIFS(Movements!$D$5:$D$304,Movements!$C$5:$C$304,$A50,Movements!$B$5:$B$304,"Adjust"))</f>
        <v/>
      </c>
      <c r="E50" s="5" t="str">
        <f aca="false">IF($A50="","",SUMIFS(Recipes!$H$5:$H$104,Recipes!$C$5:$C$104,$A50,Recipes!$B$5:$B$104,"C"))</f>
        <v/>
      </c>
      <c r="F50" s="5" t="str">
        <f aca="false">IF($A50="","",MAX(0,$C50+$D50-$E50))</f>
        <v/>
      </c>
      <c r="G50" s="6" t="str">
        <f aca="false">IF($A50="","",MAX($C50,$E50))</f>
        <v/>
      </c>
      <c r="H50" s="5" t="str">
        <f aca="false">IF($A50="","",_xlfn.MINIFS(Recipes!$I$5:$I$104,Recipes!$A$5:$A$104,$A50,Recipes!$B$5:$B$104,"B"))</f>
        <v/>
      </c>
      <c r="I50" s="5" t="str">
        <f aca="false">IF($A50="","",$F50+$H50)</f>
        <v/>
      </c>
      <c r="J50" s="5" t="str">
        <f aca="false">IF($A50="","",IFERROR(INDEX(Recipes!$C$5:$C$104,MATCH($A50&amp;"|"&amp;$H50,Recipes!$M$5:$M$104,0)),""))</f>
        <v/>
      </c>
      <c r="K50" s="5" t="str">
        <f aca="false">IF($A50="","",COUNTIFS(Recipes!$C$5:$C$104,$A50,Recipes!$B$5:$B$104,"C"))</f>
        <v/>
      </c>
      <c r="L50" s="4"/>
    </row>
    <row r="51" customFormat="false" ht="15" hidden="false" customHeight="false" outlineLevel="0" collapsed="false">
      <c r="A51" s="4"/>
      <c r="B51" s="4"/>
      <c r="C51" s="5" t="str">
        <f aca="false">IF($A51="","",SUMIFS(Movements!$D$5:$D$304,Movements!$C$5:$C$304,$A51,Movements!$B$5:$B$304,"Build"))</f>
        <v/>
      </c>
      <c r="D51" s="5" t="str">
        <f aca="false">IF($A51="","",SUMIFS(Movements!$D$5:$D$304,Movements!$C$5:$C$304,$A51,Movements!$B$5:$B$304,"Adjust"))</f>
        <v/>
      </c>
      <c r="E51" s="5" t="str">
        <f aca="false">IF($A51="","",SUMIFS(Recipes!$H$5:$H$104,Recipes!$C$5:$C$104,$A51,Recipes!$B$5:$B$104,"C"))</f>
        <v/>
      </c>
      <c r="F51" s="5" t="str">
        <f aca="false">IF($A51="","",MAX(0,$C51+$D51-$E51))</f>
        <v/>
      </c>
      <c r="G51" s="6" t="str">
        <f aca="false">IF($A51="","",MAX($C51,$E51))</f>
        <v/>
      </c>
      <c r="H51" s="5" t="str">
        <f aca="false">IF($A51="","",_xlfn.MINIFS(Recipes!$I$5:$I$104,Recipes!$A$5:$A$104,$A51,Recipes!$B$5:$B$104,"B"))</f>
        <v/>
      </c>
      <c r="I51" s="5" t="str">
        <f aca="false">IF($A51="","",$F51+$H51)</f>
        <v/>
      </c>
      <c r="J51" s="5" t="str">
        <f aca="false">IF($A51="","",IFERROR(INDEX(Recipes!$C$5:$C$104,MATCH($A51&amp;"|"&amp;$H51,Recipes!$M$5:$M$104,0)),""))</f>
        <v/>
      </c>
      <c r="K51" s="5" t="str">
        <f aca="false">IF($A51="","",COUNTIFS(Recipes!$C$5:$C$104,$A51,Recipes!$B$5:$B$104,"C"))</f>
        <v/>
      </c>
      <c r="L51" s="4"/>
    </row>
    <row r="52" customFormat="false" ht="15" hidden="false" customHeight="false" outlineLevel="0" collapsed="false">
      <c r="A52" s="4"/>
      <c r="B52" s="4"/>
      <c r="C52" s="5" t="str">
        <f aca="false">IF($A52="","",SUMIFS(Movements!$D$5:$D$304,Movements!$C$5:$C$304,$A52,Movements!$B$5:$B$304,"Build"))</f>
        <v/>
      </c>
      <c r="D52" s="5" t="str">
        <f aca="false">IF($A52="","",SUMIFS(Movements!$D$5:$D$304,Movements!$C$5:$C$304,$A52,Movements!$B$5:$B$304,"Adjust"))</f>
        <v/>
      </c>
      <c r="E52" s="5" t="str">
        <f aca="false">IF($A52="","",SUMIFS(Recipes!$H$5:$H$104,Recipes!$C$5:$C$104,$A52,Recipes!$B$5:$B$104,"C"))</f>
        <v/>
      </c>
      <c r="F52" s="5" t="str">
        <f aca="false">IF($A52="","",MAX(0,$C52+$D52-$E52))</f>
        <v/>
      </c>
      <c r="G52" s="6" t="str">
        <f aca="false">IF($A52="","",MAX($C52,$E52))</f>
        <v/>
      </c>
      <c r="H52" s="5" t="str">
        <f aca="false">IF($A52="","",_xlfn.MINIFS(Recipes!$I$5:$I$104,Recipes!$A$5:$A$104,$A52,Recipes!$B$5:$B$104,"B"))</f>
        <v/>
      </c>
      <c r="I52" s="5" t="str">
        <f aca="false">IF($A52="","",$F52+$H52)</f>
        <v/>
      </c>
      <c r="J52" s="5" t="str">
        <f aca="false">IF($A52="","",IFERROR(INDEX(Recipes!$C$5:$C$104,MATCH($A52&amp;"|"&amp;$H52,Recipes!$M$5:$M$104,0)),""))</f>
        <v/>
      </c>
      <c r="K52" s="5" t="str">
        <f aca="false">IF($A52="","",COUNTIFS(Recipes!$C$5:$C$104,$A52,Recipes!$B$5:$B$104,"C"))</f>
        <v/>
      </c>
      <c r="L52" s="4"/>
    </row>
    <row r="53" customFormat="false" ht="15" hidden="false" customHeight="false" outlineLevel="0" collapsed="false">
      <c r="A53" s="4"/>
      <c r="B53" s="4"/>
      <c r="C53" s="5" t="str">
        <f aca="false">IF($A53="","",SUMIFS(Movements!$D$5:$D$304,Movements!$C$5:$C$304,$A53,Movements!$B$5:$B$304,"Build"))</f>
        <v/>
      </c>
      <c r="D53" s="5" t="str">
        <f aca="false">IF($A53="","",SUMIFS(Movements!$D$5:$D$304,Movements!$C$5:$C$304,$A53,Movements!$B$5:$B$304,"Adjust"))</f>
        <v/>
      </c>
      <c r="E53" s="5" t="str">
        <f aca="false">IF($A53="","",SUMIFS(Recipes!$H$5:$H$104,Recipes!$C$5:$C$104,$A53,Recipes!$B$5:$B$104,"C"))</f>
        <v/>
      </c>
      <c r="F53" s="5" t="str">
        <f aca="false">IF($A53="","",MAX(0,$C53+$D53-$E53))</f>
        <v/>
      </c>
      <c r="G53" s="6" t="str">
        <f aca="false">IF($A53="","",MAX($C53,$E53))</f>
        <v/>
      </c>
      <c r="H53" s="5" t="str">
        <f aca="false">IF($A53="","",_xlfn.MINIFS(Recipes!$I$5:$I$104,Recipes!$A$5:$A$104,$A53,Recipes!$B$5:$B$104,"B"))</f>
        <v/>
      </c>
      <c r="I53" s="5" t="str">
        <f aca="false">IF($A53="","",$F53+$H53)</f>
        <v/>
      </c>
      <c r="J53" s="5" t="str">
        <f aca="false">IF($A53="","",IFERROR(INDEX(Recipes!$C$5:$C$104,MATCH($A53&amp;"|"&amp;$H53,Recipes!$M$5:$M$104,0)),""))</f>
        <v/>
      </c>
      <c r="K53" s="5" t="str">
        <f aca="false">IF($A53="","",COUNTIFS(Recipes!$C$5:$C$104,$A53,Recipes!$B$5:$B$104,"C"))</f>
        <v/>
      </c>
      <c r="L53" s="4"/>
    </row>
    <row r="54" customFormat="false" ht="15" hidden="false" customHeight="false" outlineLevel="0" collapsed="false">
      <c r="A54" s="4"/>
      <c r="B54" s="4"/>
      <c r="C54" s="5" t="str">
        <f aca="false">IF($A54="","",SUMIFS(Movements!$D$5:$D$304,Movements!$C$5:$C$304,$A54,Movements!$B$5:$B$304,"Build"))</f>
        <v/>
      </c>
      <c r="D54" s="5" t="str">
        <f aca="false">IF($A54="","",SUMIFS(Movements!$D$5:$D$304,Movements!$C$5:$C$304,$A54,Movements!$B$5:$B$304,"Adjust"))</f>
        <v/>
      </c>
      <c r="E54" s="5" t="str">
        <f aca="false">IF($A54="","",SUMIFS(Recipes!$H$5:$H$104,Recipes!$C$5:$C$104,$A54,Recipes!$B$5:$B$104,"C"))</f>
        <v/>
      </c>
      <c r="F54" s="5" t="str">
        <f aca="false">IF($A54="","",MAX(0,$C54+$D54-$E54))</f>
        <v/>
      </c>
      <c r="G54" s="6" t="str">
        <f aca="false">IF($A54="","",MAX($C54,$E54))</f>
        <v/>
      </c>
      <c r="H54" s="5" t="str">
        <f aca="false">IF($A54="","",_xlfn.MINIFS(Recipes!$I$5:$I$104,Recipes!$A$5:$A$104,$A54,Recipes!$B$5:$B$104,"B"))</f>
        <v/>
      </c>
      <c r="I54" s="5" t="str">
        <f aca="false">IF($A54="","",$F54+$H54)</f>
        <v/>
      </c>
      <c r="J54" s="5" t="str">
        <f aca="false">IF($A54="","",IFERROR(INDEX(Recipes!$C$5:$C$104,MATCH($A54&amp;"|"&amp;$H54,Recipes!$M$5:$M$104,0)),""))</f>
        <v/>
      </c>
      <c r="K54" s="5" t="str">
        <f aca="false">IF($A54="","",COUNTIFS(Recipes!$C$5:$C$104,$A54,Recipes!$B$5:$B$104,"C"))</f>
        <v/>
      </c>
      <c r="L54" s="4"/>
    </row>
    <row r="55" customFormat="false" ht="15" hidden="false" customHeight="false" outlineLevel="0" collapsed="false">
      <c r="A55" s="4"/>
      <c r="B55" s="4"/>
      <c r="C55" s="5" t="str">
        <f aca="false">IF($A55="","",SUMIFS(Movements!$D$5:$D$304,Movements!$C$5:$C$304,$A55,Movements!$B$5:$B$304,"Build"))</f>
        <v/>
      </c>
      <c r="D55" s="5" t="str">
        <f aca="false">IF($A55="","",SUMIFS(Movements!$D$5:$D$304,Movements!$C$5:$C$304,$A55,Movements!$B$5:$B$304,"Adjust"))</f>
        <v/>
      </c>
      <c r="E55" s="5" t="str">
        <f aca="false">IF($A55="","",SUMIFS(Recipes!$H$5:$H$104,Recipes!$C$5:$C$104,$A55,Recipes!$B$5:$B$104,"C"))</f>
        <v/>
      </c>
      <c r="F55" s="5" t="str">
        <f aca="false">IF($A55="","",MAX(0,$C55+$D55-$E55))</f>
        <v/>
      </c>
      <c r="G55" s="6" t="str">
        <f aca="false">IF($A55="","",MAX($C55,$E55))</f>
        <v/>
      </c>
      <c r="H55" s="5" t="str">
        <f aca="false">IF($A55="","",_xlfn.MINIFS(Recipes!$I$5:$I$104,Recipes!$A$5:$A$104,$A55,Recipes!$B$5:$B$104,"B"))</f>
        <v/>
      </c>
      <c r="I55" s="5" t="str">
        <f aca="false">IF($A55="","",$F55+$H55)</f>
        <v/>
      </c>
      <c r="J55" s="5" t="str">
        <f aca="false">IF($A55="","",IFERROR(INDEX(Recipes!$C$5:$C$104,MATCH($A55&amp;"|"&amp;$H55,Recipes!$M$5:$M$104,0)),""))</f>
        <v/>
      </c>
      <c r="K55" s="5" t="str">
        <f aca="false">IF($A55="","",COUNTIFS(Recipes!$C$5:$C$104,$A55,Recipes!$B$5:$B$104,"C"))</f>
        <v/>
      </c>
      <c r="L55" s="4"/>
    </row>
    <row r="56" customFormat="false" ht="15" hidden="false" customHeight="false" outlineLevel="0" collapsed="false">
      <c r="A56" s="4"/>
      <c r="B56" s="4"/>
      <c r="C56" s="5" t="str">
        <f aca="false">IF($A56="","",SUMIFS(Movements!$D$5:$D$304,Movements!$C$5:$C$304,$A56,Movements!$B$5:$B$304,"Build"))</f>
        <v/>
      </c>
      <c r="D56" s="5" t="str">
        <f aca="false">IF($A56="","",SUMIFS(Movements!$D$5:$D$304,Movements!$C$5:$C$304,$A56,Movements!$B$5:$B$304,"Adjust"))</f>
        <v/>
      </c>
      <c r="E56" s="5" t="str">
        <f aca="false">IF($A56="","",SUMIFS(Recipes!$H$5:$H$104,Recipes!$C$5:$C$104,$A56,Recipes!$B$5:$B$104,"C"))</f>
        <v/>
      </c>
      <c r="F56" s="5" t="str">
        <f aca="false">IF($A56="","",MAX(0,$C56+$D56-$E56))</f>
        <v/>
      </c>
      <c r="G56" s="6" t="str">
        <f aca="false">IF($A56="","",MAX($C56,$E56))</f>
        <v/>
      </c>
      <c r="H56" s="5" t="str">
        <f aca="false">IF($A56="","",_xlfn.MINIFS(Recipes!$I$5:$I$104,Recipes!$A$5:$A$104,$A56,Recipes!$B$5:$B$104,"B"))</f>
        <v/>
      </c>
      <c r="I56" s="5" t="str">
        <f aca="false">IF($A56="","",$F56+$H56)</f>
        <v/>
      </c>
      <c r="J56" s="5" t="str">
        <f aca="false">IF($A56="","",IFERROR(INDEX(Recipes!$C$5:$C$104,MATCH($A56&amp;"|"&amp;$H56,Recipes!$M$5:$M$104,0)),""))</f>
        <v/>
      </c>
      <c r="K56" s="5" t="str">
        <f aca="false">IF($A56="","",COUNTIFS(Recipes!$C$5:$C$104,$A56,Recipes!$B$5:$B$104,"C"))</f>
        <v/>
      </c>
      <c r="L56" s="4"/>
    </row>
    <row r="57" customFormat="false" ht="15" hidden="false" customHeight="false" outlineLevel="0" collapsed="false">
      <c r="A57" s="4"/>
      <c r="B57" s="4"/>
      <c r="C57" s="5" t="str">
        <f aca="false">IF($A57="","",SUMIFS(Movements!$D$5:$D$304,Movements!$C$5:$C$304,$A57,Movements!$B$5:$B$304,"Build"))</f>
        <v/>
      </c>
      <c r="D57" s="5" t="str">
        <f aca="false">IF($A57="","",SUMIFS(Movements!$D$5:$D$304,Movements!$C$5:$C$304,$A57,Movements!$B$5:$B$304,"Adjust"))</f>
        <v/>
      </c>
      <c r="E57" s="5" t="str">
        <f aca="false">IF($A57="","",SUMIFS(Recipes!$H$5:$H$104,Recipes!$C$5:$C$104,$A57,Recipes!$B$5:$B$104,"C"))</f>
        <v/>
      </c>
      <c r="F57" s="5" t="str">
        <f aca="false">IF($A57="","",MAX(0,$C57+$D57-$E57))</f>
        <v/>
      </c>
      <c r="G57" s="6" t="str">
        <f aca="false">IF($A57="","",MAX($C57,$E57))</f>
        <v/>
      </c>
      <c r="H57" s="5" t="str">
        <f aca="false">IF($A57="","",_xlfn.MINIFS(Recipes!$I$5:$I$104,Recipes!$A$5:$A$104,$A57,Recipes!$B$5:$B$104,"B"))</f>
        <v/>
      </c>
      <c r="I57" s="5" t="str">
        <f aca="false">IF($A57="","",$F57+$H57)</f>
        <v/>
      </c>
      <c r="J57" s="5" t="str">
        <f aca="false">IF($A57="","",IFERROR(INDEX(Recipes!$C$5:$C$104,MATCH($A57&amp;"|"&amp;$H57,Recipes!$M$5:$M$104,0)),""))</f>
        <v/>
      </c>
      <c r="K57" s="5" t="str">
        <f aca="false">IF($A57="","",COUNTIFS(Recipes!$C$5:$C$104,$A57,Recipes!$B$5:$B$104,"C"))</f>
        <v/>
      </c>
      <c r="L57" s="4"/>
    </row>
    <row r="58" customFormat="false" ht="15" hidden="false" customHeight="false" outlineLevel="0" collapsed="false">
      <c r="A58" s="4"/>
      <c r="B58" s="4"/>
      <c r="C58" s="5" t="str">
        <f aca="false">IF($A58="","",SUMIFS(Movements!$D$5:$D$304,Movements!$C$5:$C$304,$A58,Movements!$B$5:$B$304,"Build"))</f>
        <v/>
      </c>
      <c r="D58" s="5" t="str">
        <f aca="false">IF($A58="","",SUMIFS(Movements!$D$5:$D$304,Movements!$C$5:$C$304,$A58,Movements!$B$5:$B$304,"Adjust"))</f>
        <v/>
      </c>
      <c r="E58" s="5" t="str">
        <f aca="false">IF($A58="","",SUMIFS(Recipes!$H$5:$H$104,Recipes!$C$5:$C$104,$A58,Recipes!$B$5:$B$104,"C"))</f>
        <v/>
      </c>
      <c r="F58" s="5" t="str">
        <f aca="false">IF($A58="","",MAX(0,$C58+$D58-$E58))</f>
        <v/>
      </c>
      <c r="G58" s="6" t="str">
        <f aca="false">IF($A58="","",MAX($C58,$E58))</f>
        <v/>
      </c>
      <c r="H58" s="5" t="str">
        <f aca="false">IF($A58="","",_xlfn.MINIFS(Recipes!$I$5:$I$104,Recipes!$A$5:$A$104,$A58,Recipes!$B$5:$B$104,"B"))</f>
        <v/>
      </c>
      <c r="I58" s="5" t="str">
        <f aca="false">IF($A58="","",$F58+$H58)</f>
        <v/>
      </c>
      <c r="J58" s="5" t="str">
        <f aca="false">IF($A58="","",IFERROR(INDEX(Recipes!$C$5:$C$104,MATCH($A58&amp;"|"&amp;$H58,Recipes!$M$5:$M$104,0)),""))</f>
        <v/>
      </c>
      <c r="K58" s="5" t="str">
        <f aca="false">IF($A58="","",COUNTIFS(Recipes!$C$5:$C$104,$A58,Recipes!$B$5:$B$104,"C"))</f>
        <v/>
      </c>
      <c r="L58" s="4"/>
    </row>
    <row r="59" customFormat="false" ht="15" hidden="false" customHeight="false" outlineLevel="0" collapsed="false">
      <c r="A59" s="4"/>
      <c r="B59" s="4"/>
      <c r="C59" s="5" t="str">
        <f aca="false">IF($A59="","",SUMIFS(Movements!$D$5:$D$304,Movements!$C$5:$C$304,$A59,Movements!$B$5:$B$304,"Build"))</f>
        <v/>
      </c>
      <c r="D59" s="5" t="str">
        <f aca="false">IF($A59="","",SUMIFS(Movements!$D$5:$D$304,Movements!$C$5:$C$304,$A59,Movements!$B$5:$B$304,"Adjust"))</f>
        <v/>
      </c>
      <c r="E59" s="5" t="str">
        <f aca="false">IF($A59="","",SUMIFS(Recipes!$H$5:$H$104,Recipes!$C$5:$C$104,$A59,Recipes!$B$5:$B$104,"C"))</f>
        <v/>
      </c>
      <c r="F59" s="5" t="str">
        <f aca="false">IF($A59="","",MAX(0,$C59+$D59-$E59))</f>
        <v/>
      </c>
      <c r="G59" s="6" t="str">
        <f aca="false">IF($A59="","",MAX($C59,$E59))</f>
        <v/>
      </c>
      <c r="H59" s="5" t="str">
        <f aca="false">IF($A59="","",_xlfn.MINIFS(Recipes!$I$5:$I$104,Recipes!$A$5:$A$104,$A59,Recipes!$B$5:$B$104,"B"))</f>
        <v/>
      </c>
      <c r="I59" s="5" t="str">
        <f aca="false">IF($A59="","",$F59+$H59)</f>
        <v/>
      </c>
      <c r="J59" s="5" t="str">
        <f aca="false">IF($A59="","",IFERROR(INDEX(Recipes!$C$5:$C$104,MATCH($A59&amp;"|"&amp;$H59,Recipes!$M$5:$M$104,0)),""))</f>
        <v/>
      </c>
      <c r="K59" s="5" t="str">
        <f aca="false">IF($A59="","",COUNTIFS(Recipes!$C$5:$C$104,$A59,Recipes!$B$5:$B$104,"C"))</f>
        <v/>
      </c>
      <c r="L59" s="4"/>
    </row>
    <row r="60" customFormat="false" ht="15" hidden="false" customHeight="false" outlineLevel="0" collapsed="false">
      <c r="A60" s="4"/>
      <c r="B60" s="4"/>
      <c r="C60" s="5" t="str">
        <f aca="false">IF($A60="","",SUMIFS(Movements!$D$5:$D$304,Movements!$C$5:$C$304,$A60,Movements!$B$5:$B$304,"Build"))</f>
        <v/>
      </c>
      <c r="D60" s="5" t="str">
        <f aca="false">IF($A60="","",SUMIFS(Movements!$D$5:$D$304,Movements!$C$5:$C$304,$A60,Movements!$B$5:$B$304,"Adjust"))</f>
        <v/>
      </c>
      <c r="E60" s="5" t="str">
        <f aca="false">IF($A60="","",SUMIFS(Recipes!$H$5:$H$104,Recipes!$C$5:$C$104,$A60,Recipes!$B$5:$B$104,"C"))</f>
        <v/>
      </c>
      <c r="F60" s="5" t="str">
        <f aca="false">IF($A60="","",MAX(0,$C60+$D60-$E60))</f>
        <v/>
      </c>
      <c r="G60" s="6" t="str">
        <f aca="false">IF($A60="","",MAX($C60,$E60))</f>
        <v/>
      </c>
      <c r="H60" s="5" t="str">
        <f aca="false">IF($A60="","",_xlfn.MINIFS(Recipes!$I$5:$I$104,Recipes!$A$5:$A$104,$A60,Recipes!$B$5:$B$104,"B"))</f>
        <v/>
      </c>
      <c r="I60" s="5" t="str">
        <f aca="false">IF($A60="","",$F60+$H60)</f>
        <v/>
      </c>
      <c r="J60" s="5" t="str">
        <f aca="false">IF($A60="","",IFERROR(INDEX(Recipes!$C$5:$C$104,MATCH($A60&amp;"|"&amp;$H60,Recipes!$M$5:$M$104,0)),""))</f>
        <v/>
      </c>
      <c r="K60" s="5" t="str">
        <f aca="false">IF($A60="","",COUNTIFS(Recipes!$C$5:$C$104,$A60,Recipes!$B$5:$B$104,"C"))</f>
        <v/>
      </c>
      <c r="L60" s="4"/>
    </row>
    <row r="61" customFormat="false" ht="15" hidden="false" customHeight="false" outlineLevel="0" collapsed="false">
      <c r="A61" s="4"/>
      <c r="B61" s="4"/>
      <c r="C61" s="5" t="str">
        <f aca="false">IF($A61="","",SUMIFS(Movements!$D$5:$D$304,Movements!$C$5:$C$304,$A61,Movements!$B$5:$B$304,"Build"))</f>
        <v/>
      </c>
      <c r="D61" s="5" t="str">
        <f aca="false">IF($A61="","",SUMIFS(Movements!$D$5:$D$304,Movements!$C$5:$C$304,$A61,Movements!$B$5:$B$304,"Adjust"))</f>
        <v/>
      </c>
      <c r="E61" s="5" t="str">
        <f aca="false">IF($A61="","",SUMIFS(Recipes!$H$5:$H$104,Recipes!$C$5:$C$104,$A61,Recipes!$B$5:$B$104,"C"))</f>
        <v/>
      </c>
      <c r="F61" s="5" t="str">
        <f aca="false">IF($A61="","",MAX(0,$C61+$D61-$E61))</f>
        <v/>
      </c>
      <c r="G61" s="6" t="str">
        <f aca="false">IF($A61="","",MAX($C61,$E61))</f>
        <v/>
      </c>
      <c r="H61" s="5" t="str">
        <f aca="false">IF($A61="","",_xlfn.MINIFS(Recipes!$I$5:$I$104,Recipes!$A$5:$A$104,$A61,Recipes!$B$5:$B$104,"B"))</f>
        <v/>
      </c>
      <c r="I61" s="5" t="str">
        <f aca="false">IF($A61="","",$F61+$H61)</f>
        <v/>
      </c>
      <c r="J61" s="5" t="str">
        <f aca="false">IF($A61="","",IFERROR(INDEX(Recipes!$C$5:$C$104,MATCH($A61&amp;"|"&amp;$H61,Recipes!$M$5:$M$104,0)),""))</f>
        <v/>
      </c>
      <c r="K61" s="5" t="str">
        <f aca="false">IF($A61="","",COUNTIFS(Recipes!$C$5:$C$104,$A61,Recipes!$B$5:$B$104,"C"))</f>
        <v/>
      </c>
      <c r="L61" s="4"/>
    </row>
    <row r="62" customFormat="false" ht="15" hidden="false" customHeight="false" outlineLevel="0" collapsed="false">
      <c r="A62" s="4"/>
      <c r="B62" s="4"/>
      <c r="C62" s="5" t="str">
        <f aca="false">IF($A62="","",SUMIFS(Movements!$D$5:$D$304,Movements!$C$5:$C$304,$A62,Movements!$B$5:$B$304,"Build"))</f>
        <v/>
      </c>
      <c r="D62" s="5" t="str">
        <f aca="false">IF($A62="","",SUMIFS(Movements!$D$5:$D$304,Movements!$C$5:$C$304,$A62,Movements!$B$5:$B$304,"Adjust"))</f>
        <v/>
      </c>
      <c r="E62" s="5" t="str">
        <f aca="false">IF($A62="","",SUMIFS(Recipes!$H$5:$H$104,Recipes!$C$5:$C$104,$A62,Recipes!$B$5:$B$104,"C"))</f>
        <v/>
      </c>
      <c r="F62" s="5" t="str">
        <f aca="false">IF($A62="","",MAX(0,$C62+$D62-$E62))</f>
        <v/>
      </c>
      <c r="G62" s="6" t="str">
        <f aca="false">IF($A62="","",MAX($C62,$E62))</f>
        <v/>
      </c>
      <c r="H62" s="5" t="str">
        <f aca="false">IF($A62="","",_xlfn.MINIFS(Recipes!$I$5:$I$104,Recipes!$A$5:$A$104,$A62,Recipes!$B$5:$B$104,"B"))</f>
        <v/>
      </c>
      <c r="I62" s="5" t="str">
        <f aca="false">IF($A62="","",$F62+$H62)</f>
        <v/>
      </c>
      <c r="J62" s="5" t="str">
        <f aca="false">IF($A62="","",IFERROR(INDEX(Recipes!$C$5:$C$104,MATCH($A62&amp;"|"&amp;$H62,Recipes!$M$5:$M$104,0)),""))</f>
        <v/>
      </c>
      <c r="K62" s="5" t="str">
        <f aca="false">IF($A62="","",COUNTIFS(Recipes!$C$5:$C$104,$A62,Recipes!$B$5:$B$104,"C"))</f>
        <v/>
      </c>
      <c r="L62" s="4"/>
    </row>
    <row r="63" customFormat="false" ht="15" hidden="false" customHeight="false" outlineLevel="0" collapsed="false">
      <c r="A63" s="4"/>
      <c r="B63" s="4"/>
      <c r="C63" s="5" t="str">
        <f aca="false">IF($A63="","",SUMIFS(Movements!$D$5:$D$304,Movements!$C$5:$C$304,$A63,Movements!$B$5:$B$304,"Build"))</f>
        <v/>
      </c>
      <c r="D63" s="5" t="str">
        <f aca="false">IF($A63="","",SUMIFS(Movements!$D$5:$D$304,Movements!$C$5:$C$304,$A63,Movements!$B$5:$B$304,"Adjust"))</f>
        <v/>
      </c>
      <c r="E63" s="5" t="str">
        <f aca="false">IF($A63="","",SUMIFS(Recipes!$H$5:$H$104,Recipes!$C$5:$C$104,$A63,Recipes!$B$5:$B$104,"C"))</f>
        <v/>
      </c>
      <c r="F63" s="5" t="str">
        <f aca="false">IF($A63="","",MAX(0,$C63+$D63-$E63))</f>
        <v/>
      </c>
      <c r="G63" s="6" t="str">
        <f aca="false">IF($A63="","",MAX($C63,$E63))</f>
        <v/>
      </c>
      <c r="H63" s="5" t="str">
        <f aca="false">IF($A63="","",_xlfn.MINIFS(Recipes!$I$5:$I$104,Recipes!$A$5:$A$104,$A63,Recipes!$B$5:$B$104,"B"))</f>
        <v/>
      </c>
      <c r="I63" s="5" t="str">
        <f aca="false">IF($A63="","",$F63+$H63)</f>
        <v/>
      </c>
      <c r="J63" s="5" t="str">
        <f aca="false">IF($A63="","",IFERROR(INDEX(Recipes!$C$5:$C$104,MATCH($A63&amp;"|"&amp;$H63,Recipes!$M$5:$M$104,0)),""))</f>
        <v/>
      </c>
      <c r="K63" s="5" t="str">
        <f aca="false">IF($A63="","",COUNTIFS(Recipes!$C$5:$C$104,$A63,Recipes!$B$5:$B$104,"C"))</f>
        <v/>
      </c>
      <c r="L63" s="4"/>
    </row>
    <row r="64" customFormat="false" ht="15" hidden="false" customHeight="false" outlineLevel="0" collapsed="false">
      <c r="A64" s="4"/>
      <c r="B64" s="4"/>
      <c r="C64" s="5" t="str">
        <f aca="false">IF($A64="","",SUMIFS(Movements!$D$5:$D$304,Movements!$C$5:$C$304,$A64,Movements!$B$5:$B$304,"Build"))</f>
        <v/>
      </c>
      <c r="D64" s="5" t="str">
        <f aca="false">IF($A64="","",SUMIFS(Movements!$D$5:$D$304,Movements!$C$5:$C$304,$A64,Movements!$B$5:$B$304,"Adjust"))</f>
        <v/>
      </c>
      <c r="E64" s="5" t="str">
        <f aca="false">IF($A64="","",SUMIFS(Recipes!$H$5:$H$104,Recipes!$C$5:$C$104,$A64,Recipes!$B$5:$B$104,"C"))</f>
        <v/>
      </c>
      <c r="F64" s="5" t="str">
        <f aca="false">IF($A64="","",MAX(0,$C64+$D64-$E64))</f>
        <v/>
      </c>
      <c r="G64" s="6" t="str">
        <f aca="false">IF($A64="","",MAX($C64,$E64))</f>
        <v/>
      </c>
      <c r="H64" s="5" t="str">
        <f aca="false">IF($A64="","",_xlfn.MINIFS(Recipes!$I$5:$I$104,Recipes!$A$5:$A$104,$A64,Recipes!$B$5:$B$104,"B"))</f>
        <v/>
      </c>
      <c r="I64" s="5" t="str">
        <f aca="false">IF($A64="","",$F64+$H64)</f>
        <v/>
      </c>
      <c r="J64" s="5" t="str">
        <f aca="false">IF($A64="","",IFERROR(INDEX(Recipes!$C$5:$C$104,MATCH($A64&amp;"|"&amp;$H64,Recipes!$M$5:$M$104,0)),""))</f>
        <v/>
      </c>
      <c r="K64" s="5" t="str">
        <f aca="false">IF($A64="","",COUNTIFS(Recipes!$C$5:$C$104,$A64,Recipes!$B$5:$B$104,"C"))</f>
        <v/>
      </c>
      <c r="L64" s="4"/>
    </row>
    <row r="65" customFormat="false" ht="15" hidden="false" customHeight="false" outlineLevel="0" collapsed="false">
      <c r="A65" s="4"/>
      <c r="B65" s="4"/>
      <c r="C65" s="5" t="str">
        <f aca="false">IF($A65="","",SUMIFS(Movements!$D$5:$D$304,Movements!$C$5:$C$304,$A65,Movements!$B$5:$B$304,"Build"))</f>
        <v/>
      </c>
      <c r="D65" s="5" t="str">
        <f aca="false">IF($A65="","",SUMIFS(Movements!$D$5:$D$304,Movements!$C$5:$C$304,$A65,Movements!$B$5:$B$304,"Adjust"))</f>
        <v/>
      </c>
      <c r="E65" s="5" t="str">
        <f aca="false">IF($A65="","",SUMIFS(Recipes!$H$5:$H$104,Recipes!$C$5:$C$104,$A65,Recipes!$B$5:$B$104,"C"))</f>
        <v/>
      </c>
      <c r="F65" s="5" t="str">
        <f aca="false">IF($A65="","",MAX(0,$C65+$D65-$E65))</f>
        <v/>
      </c>
      <c r="G65" s="6" t="str">
        <f aca="false">IF($A65="","",MAX($C65,$E65))</f>
        <v/>
      </c>
      <c r="H65" s="5" t="str">
        <f aca="false">IF($A65="","",_xlfn.MINIFS(Recipes!$I$5:$I$104,Recipes!$A$5:$A$104,$A65,Recipes!$B$5:$B$104,"B"))</f>
        <v/>
      </c>
      <c r="I65" s="5" t="str">
        <f aca="false">IF($A65="","",$F65+$H65)</f>
        <v/>
      </c>
      <c r="J65" s="5" t="str">
        <f aca="false">IF($A65="","",IFERROR(INDEX(Recipes!$C$5:$C$104,MATCH($A65&amp;"|"&amp;$H65,Recipes!$M$5:$M$104,0)),""))</f>
        <v/>
      </c>
      <c r="K65" s="5" t="str">
        <f aca="false">IF($A65="","",COUNTIFS(Recipes!$C$5:$C$104,$A65,Recipes!$B$5:$B$104,"C"))</f>
        <v/>
      </c>
      <c r="L65" s="4"/>
    </row>
    <row r="66" customFormat="false" ht="15" hidden="false" customHeight="false" outlineLevel="0" collapsed="false">
      <c r="A66" s="4"/>
      <c r="B66" s="4"/>
      <c r="C66" s="5" t="str">
        <f aca="false">IF($A66="","",SUMIFS(Movements!$D$5:$D$304,Movements!$C$5:$C$304,$A66,Movements!$B$5:$B$304,"Build"))</f>
        <v/>
      </c>
      <c r="D66" s="5" t="str">
        <f aca="false">IF($A66="","",SUMIFS(Movements!$D$5:$D$304,Movements!$C$5:$C$304,$A66,Movements!$B$5:$B$304,"Adjust"))</f>
        <v/>
      </c>
      <c r="E66" s="5" t="str">
        <f aca="false">IF($A66="","",SUMIFS(Recipes!$H$5:$H$104,Recipes!$C$5:$C$104,$A66,Recipes!$B$5:$B$104,"C"))</f>
        <v/>
      </c>
      <c r="F66" s="5" t="str">
        <f aca="false">IF($A66="","",MAX(0,$C66+$D66-$E66))</f>
        <v/>
      </c>
      <c r="G66" s="6" t="str">
        <f aca="false">IF($A66="","",MAX($C66,$E66))</f>
        <v/>
      </c>
      <c r="H66" s="5" t="str">
        <f aca="false">IF($A66="","",_xlfn.MINIFS(Recipes!$I$5:$I$104,Recipes!$A$5:$A$104,$A66,Recipes!$B$5:$B$104,"B"))</f>
        <v/>
      </c>
      <c r="I66" s="5" t="str">
        <f aca="false">IF($A66="","",$F66+$H66)</f>
        <v/>
      </c>
      <c r="J66" s="5" t="str">
        <f aca="false">IF($A66="","",IFERROR(INDEX(Recipes!$C$5:$C$104,MATCH($A66&amp;"|"&amp;$H66,Recipes!$M$5:$M$104,0)),""))</f>
        <v/>
      </c>
      <c r="K66" s="5" t="str">
        <f aca="false">IF($A66="","",COUNTIFS(Recipes!$C$5:$C$104,$A66,Recipes!$B$5:$B$104,"C"))</f>
        <v/>
      </c>
      <c r="L66" s="4"/>
    </row>
    <row r="67" customFormat="false" ht="15" hidden="false" customHeight="false" outlineLevel="0" collapsed="false">
      <c r="A67" s="4"/>
      <c r="B67" s="4"/>
      <c r="C67" s="5" t="str">
        <f aca="false">IF($A67="","",SUMIFS(Movements!$D$5:$D$304,Movements!$C$5:$C$304,$A67,Movements!$B$5:$B$304,"Build"))</f>
        <v/>
      </c>
      <c r="D67" s="5" t="str">
        <f aca="false">IF($A67="","",SUMIFS(Movements!$D$5:$D$304,Movements!$C$5:$C$304,$A67,Movements!$B$5:$B$304,"Adjust"))</f>
        <v/>
      </c>
      <c r="E67" s="5" t="str">
        <f aca="false">IF($A67="","",SUMIFS(Recipes!$H$5:$H$104,Recipes!$C$5:$C$104,$A67,Recipes!$B$5:$B$104,"C"))</f>
        <v/>
      </c>
      <c r="F67" s="5" t="str">
        <f aca="false">IF($A67="","",MAX(0,$C67+$D67-$E67))</f>
        <v/>
      </c>
      <c r="G67" s="6" t="str">
        <f aca="false">IF($A67="","",MAX($C67,$E67))</f>
        <v/>
      </c>
      <c r="H67" s="5" t="str">
        <f aca="false">IF($A67="","",_xlfn.MINIFS(Recipes!$I$5:$I$104,Recipes!$A$5:$A$104,$A67,Recipes!$B$5:$B$104,"B"))</f>
        <v/>
      </c>
      <c r="I67" s="5" t="str">
        <f aca="false">IF($A67="","",$F67+$H67)</f>
        <v/>
      </c>
      <c r="J67" s="5" t="str">
        <f aca="false">IF($A67="","",IFERROR(INDEX(Recipes!$C$5:$C$104,MATCH($A67&amp;"|"&amp;$H67,Recipes!$M$5:$M$104,0)),""))</f>
        <v/>
      </c>
      <c r="K67" s="5" t="str">
        <f aca="false">IF($A67="","",COUNTIFS(Recipes!$C$5:$C$104,$A67,Recipes!$B$5:$B$104,"C"))</f>
        <v/>
      </c>
      <c r="L67" s="4"/>
    </row>
    <row r="68" customFormat="false" ht="15" hidden="false" customHeight="false" outlineLevel="0" collapsed="false">
      <c r="A68" s="4"/>
      <c r="B68" s="4"/>
      <c r="C68" s="5" t="str">
        <f aca="false">IF($A68="","",SUMIFS(Movements!$D$5:$D$304,Movements!$C$5:$C$304,$A68,Movements!$B$5:$B$304,"Build"))</f>
        <v/>
      </c>
      <c r="D68" s="5" t="str">
        <f aca="false">IF($A68="","",SUMIFS(Movements!$D$5:$D$304,Movements!$C$5:$C$304,$A68,Movements!$B$5:$B$304,"Adjust"))</f>
        <v/>
      </c>
      <c r="E68" s="5" t="str">
        <f aca="false">IF($A68="","",SUMIFS(Recipes!$H$5:$H$104,Recipes!$C$5:$C$104,$A68,Recipes!$B$5:$B$104,"C"))</f>
        <v/>
      </c>
      <c r="F68" s="5" t="str">
        <f aca="false">IF($A68="","",MAX(0,$C68+$D68-$E68))</f>
        <v/>
      </c>
      <c r="G68" s="6" t="str">
        <f aca="false">IF($A68="","",MAX($C68,$E68))</f>
        <v/>
      </c>
      <c r="H68" s="5" t="str">
        <f aca="false">IF($A68="","",_xlfn.MINIFS(Recipes!$I$5:$I$104,Recipes!$A$5:$A$104,$A68,Recipes!$B$5:$B$104,"B"))</f>
        <v/>
      </c>
      <c r="I68" s="5" t="str">
        <f aca="false">IF($A68="","",$F68+$H68)</f>
        <v/>
      </c>
      <c r="J68" s="5" t="str">
        <f aca="false">IF($A68="","",IFERROR(INDEX(Recipes!$C$5:$C$104,MATCH($A68&amp;"|"&amp;$H68,Recipes!$M$5:$M$104,0)),""))</f>
        <v/>
      </c>
      <c r="K68" s="5" t="str">
        <f aca="false">IF($A68="","",COUNTIFS(Recipes!$C$5:$C$104,$A68,Recipes!$B$5:$B$104,"C"))</f>
        <v/>
      </c>
      <c r="L68" s="4"/>
    </row>
    <row r="69" customFormat="false" ht="15" hidden="false" customHeight="false" outlineLevel="0" collapsed="false">
      <c r="A69" s="4"/>
      <c r="B69" s="4"/>
      <c r="C69" s="5" t="str">
        <f aca="false">IF($A69="","",SUMIFS(Movements!$D$5:$D$304,Movements!$C$5:$C$304,$A69,Movements!$B$5:$B$304,"Build"))</f>
        <v/>
      </c>
      <c r="D69" s="5" t="str">
        <f aca="false">IF($A69="","",SUMIFS(Movements!$D$5:$D$304,Movements!$C$5:$C$304,$A69,Movements!$B$5:$B$304,"Adjust"))</f>
        <v/>
      </c>
      <c r="E69" s="5" t="str">
        <f aca="false">IF($A69="","",SUMIFS(Recipes!$H$5:$H$104,Recipes!$C$5:$C$104,$A69,Recipes!$B$5:$B$104,"C"))</f>
        <v/>
      </c>
      <c r="F69" s="5" t="str">
        <f aca="false">IF($A69="","",MAX(0,$C69+$D69-$E69))</f>
        <v/>
      </c>
      <c r="G69" s="6" t="str">
        <f aca="false">IF($A69="","",MAX($C69,$E69))</f>
        <v/>
      </c>
      <c r="H69" s="5" t="str">
        <f aca="false">IF($A69="","",_xlfn.MINIFS(Recipes!$I$5:$I$104,Recipes!$A$5:$A$104,$A69,Recipes!$B$5:$B$104,"B"))</f>
        <v/>
      </c>
      <c r="I69" s="5" t="str">
        <f aca="false">IF($A69="","",$F69+$H69)</f>
        <v/>
      </c>
      <c r="J69" s="5" t="str">
        <f aca="false">IF($A69="","",IFERROR(INDEX(Recipes!$C$5:$C$104,MATCH($A69&amp;"|"&amp;$H69,Recipes!$M$5:$M$104,0)),""))</f>
        <v/>
      </c>
      <c r="K69" s="5" t="str">
        <f aca="false">IF($A69="","",COUNTIFS(Recipes!$C$5:$C$104,$A69,Recipes!$B$5:$B$104,"C"))</f>
        <v/>
      </c>
      <c r="L69" s="4"/>
    </row>
    <row r="70" customFormat="false" ht="15" hidden="false" customHeight="false" outlineLevel="0" collapsed="false">
      <c r="A70" s="4"/>
      <c r="B70" s="4"/>
      <c r="C70" s="5" t="str">
        <f aca="false">IF($A70="","",SUMIFS(Movements!$D$5:$D$304,Movements!$C$5:$C$304,$A70,Movements!$B$5:$B$304,"Build"))</f>
        <v/>
      </c>
      <c r="D70" s="5" t="str">
        <f aca="false">IF($A70="","",SUMIFS(Movements!$D$5:$D$304,Movements!$C$5:$C$304,$A70,Movements!$B$5:$B$304,"Adjust"))</f>
        <v/>
      </c>
      <c r="E70" s="5" t="str">
        <f aca="false">IF($A70="","",SUMIFS(Recipes!$H$5:$H$104,Recipes!$C$5:$C$104,$A70,Recipes!$B$5:$B$104,"C"))</f>
        <v/>
      </c>
      <c r="F70" s="5" t="str">
        <f aca="false">IF($A70="","",MAX(0,$C70+$D70-$E70))</f>
        <v/>
      </c>
      <c r="G70" s="6" t="str">
        <f aca="false">IF($A70="","",MAX($C70,$E70))</f>
        <v/>
      </c>
      <c r="H70" s="5" t="str">
        <f aca="false">IF($A70="","",_xlfn.MINIFS(Recipes!$I$5:$I$104,Recipes!$A$5:$A$104,$A70,Recipes!$B$5:$B$104,"B"))</f>
        <v/>
      </c>
      <c r="I70" s="5" t="str">
        <f aca="false">IF($A70="","",$F70+$H70)</f>
        <v/>
      </c>
      <c r="J70" s="5" t="str">
        <f aca="false">IF($A70="","",IFERROR(INDEX(Recipes!$C$5:$C$104,MATCH($A70&amp;"|"&amp;$H70,Recipes!$M$5:$M$104,0)),""))</f>
        <v/>
      </c>
      <c r="K70" s="5" t="str">
        <f aca="false">IF($A70="","",COUNTIFS(Recipes!$C$5:$C$104,$A70,Recipes!$B$5:$B$104,"C"))</f>
        <v/>
      </c>
      <c r="L70" s="4"/>
    </row>
    <row r="71" customFormat="false" ht="15" hidden="false" customHeight="false" outlineLevel="0" collapsed="false">
      <c r="A71" s="4"/>
      <c r="B71" s="4"/>
      <c r="C71" s="5" t="str">
        <f aca="false">IF($A71="","",SUMIFS(Movements!$D$5:$D$304,Movements!$C$5:$C$304,$A71,Movements!$B$5:$B$304,"Build"))</f>
        <v/>
      </c>
      <c r="D71" s="5" t="str">
        <f aca="false">IF($A71="","",SUMIFS(Movements!$D$5:$D$304,Movements!$C$5:$C$304,$A71,Movements!$B$5:$B$304,"Adjust"))</f>
        <v/>
      </c>
      <c r="E71" s="5" t="str">
        <f aca="false">IF($A71="","",SUMIFS(Recipes!$H$5:$H$104,Recipes!$C$5:$C$104,$A71,Recipes!$B$5:$B$104,"C"))</f>
        <v/>
      </c>
      <c r="F71" s="5" t="str">
        <f aca="false">IF($A71="","",MAX(0,$C71+$D71-$E71))</f>
        <v/>
      </c>
      <c r="G71" s="6" t="str">
        <f aca="false">IF($A71="","",MAX($C71,$E71))</f>
        <v/>
      </c>
      <c r="H71" s="5" t="str">
        <f aca="false">IF($A71="","",_xlfn.MINIFS(Recipes!$I$5:$I$104,Recipes!$A$5:$A$104,$A71,Recipes!$B$5:$B$104,"B"))</f>
        <v/>
      </c>
      <c r="I71" s="5" t="str">
        <f aca="false">IF($A71="","",$F71+$H71)</f>
        <v/>
      </c>
      <c r="J71" s="5" t="str">
        <f aca="false">IF($A71="","",IFERROR(INDEX(Recipes!$C$5:$C$104,MATCH($A71&amp;"|"&amp;$H71,Recipes!$M$5:$M$104,0)),""))</f>
        <v/>
      </c>
      <c r="K71" s="5" t="str">
        <f aca="false">IF($A71="","",COUNTIFS(Recipes!$C$5:$C$104,$A71,Recipes!$B$5:$B$104,"C"))</f>
        <v/>
      </c>
      <c r="L71" s="4"/>
    </row>
    <row r="72" customFormat="false" ht="15" hidden="false" customHeight="false" outlineLevel="0" collapsed="false">
      <c r="A72" s="4"/>
      <c r="B72" s="4"/>
      <c r="C72" s="5" t="str">
        <f aca="false">IF($A72="","",SUMIFS(Movements!$D$5:$D$304,Movements!$C$5:$C$304,$A72,Movements!$B$5:$B$304,"Build"))</f>
        <v/>
      </c>
      <c r="D72" s="5" t="str">
        <f aca="false">IF($A72="","",SUMIFS(Movements!$D$5:$D$304,Movements!$C$5:$C$304,$A72,Movements!$B$5:$B$304,"Adjust"))</f>
        <v/>
      </c>
      <c r="E72" s="5" t="str">
        <f aca="false">IF($A72="","",SUMIFS(Recipes!$H$5:$H$104,Recipes!$C$5:$C$104,$A72,Recipes!$B$5:$B$104,"C"))</f>
        <v/>
      </c>
      <c r="F72" s="5" t="str">
        <f aca="false">IF($A72="","",MAX(0,$C72+$D72-$E72))</f>
        <v/>
      </c>
      <c r="G72" s="6" t="str">
        <f aca="false">IF($A72="","",MAX($C72,$E72))</f>
        <v/>
      </c>
      <c r="H72" s="5" t="str">
        <f aca="false">IF($A72="","",_xlfn.MINIFS(Recipes!$I$5:$I$104,Recipes!$A$5:$A$104,$A72,Recipes!$B$5:$B$104,"B"))</f>
        <v/>
      </c>
      <c r="I72" s="5" t="str">
        <f aca="false">IF($A72="","",$F72+$H72)</f>
        <v/>
      </c>
      <c r="J72" s="5" t="str">
        <f aca="false">IF($A72="","",IFERROR(INDEX(Recipes!$C$5:$C$104,MATCH($A72&amp;"|"&amp;$H72,Recipes!$M$5:$M$104,0)),""))</f>
        <v/>
      </c>
      <c r="K72" s="5" t="str">
        <f aca="false">IF($A72="","",COUNTIFS(Recipes!$C$5:$C$104,$A72,Recipes!$B$5:$B$104,"C"))</f>
        <v/>
      </c>
      <c r="L72" s="4"/>
    </row>
    <row r="73" customFormat="false" ht="15" hidden="false" customHeight="false" outlineLevel="0" collapsed="false">
      <c r="A73" s="4"/>
      <c r="B73" s="4"/>
      <c r="C73" s="5" t="str">
        <f aca="false">IF($A73="","",SUMIFS(Movements!$D$5:$D$304,Movements!$C$5:$C$304,$A73,Movements!$B$5:$B$304,"Build"))</f>
        <v/>
      </c>
      <c r="D73" s="5" t="str">
        <f aca="false">IF($A73="","",SUMIFS(Movements!$D$5:$D$304,Movements!$C$5:$C$304,$A73,Movements!$B$5:$B$304,"Adjust"))</f>
        <v/>
      </c>
      <c r="E73" s="5" t="str">
        <f aca="false">IF($A73="","",SUMIFS(Recipes!$H$5:$H$104,Recipes!$C$5:$C$104,$A73,Recipes!$B$5:$B$104,"C"))</f>
        <v/>
      </c>
      <c r="F73" s="5" t="str">
        <f aca="false">IF($A73="","",MAX(0,$C73+$D73-$E73))</f>
        <v/>
      </c>
      <c r="G73" s="6" t="str">
        <f aca="false">IF($A73="","",MAX($C73,$E73))</f>
        <v/>
      </c>
      <c r="H73" s="5" t="str">
        <f aca="false">IF($A73="","",_xlfn.MINIFS(Recipes!$I$5:$I$104,Recipes!$A$5:$A$104,$A73,Recipes!$B$5:$B$104,"B"))</f>
        <v/>
      </c>
      <c r="I73" s="5" t="str">
        <f aca="false">IF($A73="","",$F73+$H73)</f>
        <v/>
      </c>
      <c r="J73" s="5" t="str">
        <f aca="false">IF($A73="","",IFERROR(INDEX(Recipes!$C$5:$C$104,MATCH($A73&amp;"|"&amp;$H73,Recipes!$M$5:$M$104,0)),""))</f>
        <v/>
      </c>
      <c r="K73" s="5" t="str">
        <f aca="false">IF($A73="","",COUNTIFS(Recipes!$C$5:$C$104,$A73,Recipes!$B$5:$B$104,"C"))</f>
        <v/>
      </c>
      <c r="L73" s="4"/>
    </row>
    <row r="74" customFormat="false" ht="15" hidden="false" customHeight="false" outlineLevel="0" collapsed="false">
      <c r="A74" s="4"/>
      <c r="B74" s="4"/>
      <c r="C74" s="5" t="str">
        <f aca="false">IF($A74="","",SUMIFS(Movements!$D$5:$D$304,Movements!$C$5:$C$304,$A74,Movements!$B$5:$B$304,"Build"))</f>
        <v/>
      </c>
      <c r="D74" s="5" t="str">
        <f aca="false">IF($A74="","",SUMIFS(Movements!$D$5:$D$304,Movements!$C$5:$C$304,$A74,Movements!$B$5:$B$304,"Adjust"))</f>
        <v/>
      </c>
      <c r="E74" s="5" t="str">
        <f aca="false">IF($A74="","",SUMIFS(Recipes!$H$5:$H$104,Recipes!$C$5:$C$104,$A74,Recipes!$B$5:$B$104,"C"))</f>
        <v/>
      </c>
      <c r="F74" s="5" t="str">
        <f aca="false">IF($A74="","",MAX(0,$C74+$D74-$E74))</f>
        <v/>
      </c>
      <c r="G74" s="6" t="str">
        <f aca="false">IF($A74="","",MAX($C74,$E74))</f>
        <v/>
      </c>
      <c r="H74" s="5" t="str">
        <f aca="false">IF($A74="","",_xlfn.MINIFS(Recipes!$I$5:$I$104,Recipes!$A$5:$A$104,$A74,Recipes!$B$5:$B$104,"B"))</f>
        <v/>
      </c>
      <c r="I74" s="5" t="str">
        <f aca="false">IF($A74="","",$F74+$H74)</f>
        <v/>
      </c>
      <c r="J74" s="5" t="str">
        <f aca="false">IF($A74="","",IFERROR(INDEX(Recipes!$C$5:$C$104,MATCH($A74&amp;"|"&amp;$H74,Recipes!$M$5:$M$104,0)),""))</f>
        <v/>
      </c>
      <c r="K74" s="5" t="str">
        <f aca="false">IF($A74="","",COUNTIFS(Recipes!$C$5:$C$104,$A74,Recipes!$B$5:$B$104,"C"))</f>
        <v/>
      </c>
      <c r="L74" s="4"/>
    </row>
    <row r="75" customFormat="false" ht="15" hidden="false" customHeight="false" outlineLevel="0" collapsed="false">
      <c r="A75" s="4"/>
      <c r="B75" s="4"/>
      <c r="C75" s="5" t="str">
        <f aca="false">IF($A75="","",SUMIFS(Movements!$D$5:$D$304,Movements!$C$5:$C$304,$A75,Movements!$B$5:$B$304,"Build"))</f>
        <v/>
      </c>
      <c r="D75" s="5" t="str">
        <f aca="false">IF($A75="","",SUMIFS(Movements!$D$5:$D$304,Movements!$C$5:$C$304,$A75,Movements!$B$5:$B$304,"Adjust"))</f>
        <v/>
      </c>
      <c r="E75" s="5" t="str">
        <f aca="false">IF($A75="","",SUMIFS(Recipes!$H$5:$H$104,Recipes!$C$5:$C$104,$A75,Recipes!$B$5:$B$104,"C"))</f>
        <v/>
      </c>
      <c r="F75" s="5" t="str">
        <f aca="false">IF($A75="","",MAX(0,$C75+$D75-$E75))</f>
        <v/>
      </c>
      <c r="G75" s="6" t="str">
        <f aca="false">IF($A75="","",MAX($C75,$E75))</f>
        <v/>
      </c>
      <c r="H75" s="5" t="str">
        <f aca="false">IF($A75="","",_xlfn.MINIFS(Recipes!$I$5:$I$104,Recipes!$A$5:$A$104,$A75,Recipes!$B$5:$B$104,"B"))</f>
        <v/>
      </c>
      <c r="I75" s="5" t="str">
        <f aca="false">IF($A75="","",$F75+$H75)</f>
        <v/>
      </c>
      <c r="J75" s="5" t="str">
        <f aca="false">IF($A75="","",IFERROR(INDEX(Recipes!$C$5:$C$104,MATCH($A75&amp;"|"&amp;$H75,Recipes!$M$5:$M$104,0)),""))</f>
        <v/>
      </c>
      <c r="K75" s="5" t="str">
        <f aca="false">IF($A75="","",COUNTIFS(Recipes!$C$5:$C$104,$A75,Recipes!$B$5:$B$104,"C"))</f>
        <v/>
      </c>
      <c r="L75" s="4"/>
    </row>
    <row r="76" customFormat="false" ht="15" hidden="false" customHeight="false" outlineLevel="0" collapsed="false">
      <c r="A76" s="4"/>
      <c r="B76" s="4"/>
      <c r="C76" s="5" t="str">
        <f aca="false">IF($A76="","",SUMIFS(Movements!$D$5:$D$304,Movements!$C$5:$C$304,$A76,Movements!$B$5:$B$304,"Build"))</f>
        <v/>
      </c>
      <c r="D76" s="5" t="str">
        <f aca="false">IF($A76="","",SUMIFS(Movements!$D$5:$D$304,Movements!$C$5:$C$304,$A76,Movements!$B$5:$B$304,"Adjust"))</f>
        <v/>
      </c>
      <c r="E76" s="5" t="str">
        <f aca="false">IF($A76="","",SUMIFS(Recipes!$H$5:$H$104,Recipes!$C$5:$C$104,$A76,Recipes!$B$5:$B$104,"C"))</f>
        <v/>
      </c>
      <c r="F76" s="5" t="str">
        <f aca="false">IF($A76="","",MAX(0,$C76+$D76-$E76))</f>
        <v/>
      </c>
      <c r="G76" s="6" t="str">
        <f aca="false">IF($A76="","",MAX($C76,$E76))</f>
        <v/>
      </c>
      <c r="H76" s="5" t="str">
        <f aca="false">IF($A76="","",_xlfn.MINIFS(Recipes!$I$5:$I$104,Recipes!$A$5:$A$104,$A76,Recipes!$B$5:$B$104,"B"))</f>
        <v/>
      </c>
      <c r="I76" s="5" t="str">
        <f aca="false">IF($A76="","",$F76+$H76)</f>
        <v/>
      </c>
      <c r="J76" s="5" t="str">
        <f aca="false">IF($A76="","",IFERROR(INDEX(Recipes!$C$5:$C$104,MATCH($A76&amp;"|"&amp;$H76,Recipes!$M$5:$M$104,0)),""))</f>
        <v/>
      </c>
      <c r="K76" s="5" t="str">
        <f aca="false">IF($A76="","",COUNTIFS(Recipes!$C$5:$C$104,$A76,Recipes!$B$5:$B$104,"C"))</f>
        <v/>
      </c>
      <c r="L76" s="4"/>
    </row>
    <row r="77" customFormat="false" ht="15" hidden="false" customHeight="false" outlineLevel="0" collapsed="false">
      <c r="A77" s="4"/>
      <c r="B77" s="4"/>
      <c r="C77" s="5" t="str">
        <f aca="false">IF($A77="","",SUMIFS(Movements!$D$5:$D$304,Movements!$C$5:$C$304,$A77,Movements!$B$5:$B$304,"Build"))</f>
        <v/>
      </c>
      <c r="D77" s="5" t="str">
        <f aca="false">IF($A77="","",SUMIFS(Movements!$D$5:$D$304,Movements!$C$5:$C$304,$A77,Movements!$B$5:$B$304,"Adjust"))</f>
        <v/>
      </c>
      <c r="E77" s="5" t="str">
        <f aca="false">IF($A77="","",SUMIFS(Recipes!$H$5:$H$104,Recipes!$C$5:$C$104,$A77,Recipes!$B$5:$B$104,"C"))</f>
        <v/>
      </c>
      <c r="F77" s="5" t="str">
        <f aca="false">IF($A77="","",MAX(0,$C77+$D77-$E77))</f>
        <v/>
      </c>
      <c r="G77" s="6" t="str">
        <f aca="false">IF($A77="","",MAX($C77,$E77))</f>
        <v/>
      </c>
      <c r="H77" s="5" t="str">
        <f aca="false">IF($A77="","",_xlfn.MINIFS(Recipes!$I$5:$I$104,Recipes!$A$5:$A$104,$A77,Recipes!$B$5:$B$104,"B"))</f>
        <v/>
      </c>
      <c r="I77" s="5" t="str">
        <f aca="false">IF($A77="","",$F77+$H77)</f>
        <v/>
      </c>
      <c r="J77" s="5" t="str">
        <f aca="false">IF($A77="","",IFERROR(INDEX(Recipes!$C$5:$C$104,MATCH($A77&amp;"|"&amp;$H77,Recipes!$M$5:$M$104,0)),""))</f>
        <v/>
      </c>
      <c r="K77" s="5" t="str">
        <f aca="false">IF($A77="","",COUNTIFS(Recipes!$C$5:$C$104,$A77,Recipes!$B$5:$B$104,"C"))</f>
        <v/>
      </c>
      <c r="L77" s="4"/>
    </row>
    <row r="78" customFormat="false" ht="15" hidden="false" customHeight="false" outlineLevel="0" collapsed="false">
      <c r="A78" s="4"/>
      <c r="B78" s="4"/>
      <c r="C78" s="5" t="str">
        <f aca="false">IF($A78="","",SUMIFS(Movements!$D$5:$D$304,Movements!$C$5:$C$304,$A78,Movements!$B$5:$B$304,"Build"))</f>
        <v/>
      </c>
      <c r="D78" s="5" t="str">
        <f aca="false">IF($A78="","",SUMIFS(Movements!$D$5:$D$304,Movements!$C$5:$C$304,$A78,Movements!$B$5:$B$304,"Adjust"))</f>
        <v/>
      </c>
      <c r="E78" s="5" t="str">
        <f aca="false">IF($A78="","",SUMIFS(Recipes!$H$5:$H$104,Recipes!$C$5:$C$104,$A78,Recipes!$B$5:$B$104,"C"))</f>
        <v/>
      </c>
      <c r="F78" s="5" t="str">
        <f aca="false">IF($A78="","",MAX(0,$C78+$D78-$E78))</f>
        <v/>
      </c>
      <c r="G78" s="6" t="str">
        <f aca="false">IF($A78="","",MAX($C78,$E78))</f>
        <v/>
      </c>
      <c r="H78" s="5" t="str">
        <f aca="false">IF($A78="","",_xlfn.MINIFS(Recipes!$I$5:$I$104,Recipes!$A$5:$A$104,$A78,Recipes!$B$5:$B$104,"B"))</f>
        <v/>
      </c>
      <c r="I78" s="5" t="str">
        <f aca="false">IF($A78="","",$F78+$H78)</f>
        <v/>
      </c>
      <c r="J78" s="5" t="str">
        <f aca="false">IF($A78="","",IFERROR(INDEX(Recipes!$C$5:$C$104,MATCH($A78&amp;"|"&amp;$H78,Recipes!$M$5:$M$104,0)),""))</f>
        <v/>
      </c>
      <c r="K78" s="5" t="str">
        <f aca="false">IF($A78="","",COUNTIFS(Recipes!$C$5:$C$104,$A78,Recipes!$B$5:$B$104,"C"))</f>
        <v/>
      </c>
      <c r="L78" s="4"/>
    </row>
    <row r="79" customFormat="false" ht="15" hidden="false" customHeight="false" outlineLevel="0" collapsed="false">
      <c r="A79" s="4"/>
      <c r="B79" s="4"/>
      <c r="C79" s="5" t="str">
        <f aca="false">IF($A79="","",SUMIFS(Movements!$D$5:$D$304,Movements!$C$5:$C$304,$A79,Movements!$B$5:$B$304,"Build"))</f>
        <v/>
      </c>
      <c r="D79" s="5" t="str">
        <f aca="false">IF($A79="","",SUMIFS(Movements!$D$5:$D$304,Movements!$C$5:$C$304,$A79,Movements!$B$5:$B$304,"Adjust"))</f>
        <v/>
      </c>
      <c r="E79" s="5" t="str">
        <f aca="false">IF($A79="","",SUMIFS(Recipes!$H$5:$H$104,Recipes!$C$5:$C$104,$A79,Recipes!$B$5:$B$104,"C"))</f>
        <v/>
      </c>
      <c r="F79" s="5" t="str">
        <f aca="false">IF($A79="","",MAX(0,$C79+$D79-$E79))</f>
        <v/>
      </c>
      <c r="G79" s="6" t="str">
        <f aca="false">IF($A79="","",MAX($C79,$E79))</f>
        <v/>
      </c>
      <c r="H79" s="5" t="str">
        <f aca="false">IF($A79="","",_xlfn.MINIFS(Recipes!$I$5:$I$104,Recipes!$A$5:$A$104,$A79,Recipes!$B$5:$B$104,"B"))</f>
        <v/>
      </c>
      <c r="I79" s="5" t="str">
        <f aca="false">IF($A79="","",$F79+$H79)</f>
        <v/>
      </c>
      <c r="J79" s="5" t="str">
        <f aca="false">IF($A79="","",IFERROR(INDEX(Recipes!$C$5:$C$104,MATCH($A79&amp;"|"&amp;$H79,Recipes!$M$5:$M$104,0)),""))</f>
        <v/>
      </c>
      <c r="K79" s="5" t="str">
        <f aca="false">IF($A79="","",COUNTIFS(Recipes!$C$5:$C$104,$A79,Recipes!$B$5:$B$104,"C"))</f>
        <v/>
      </c>
      <c r="L79" s="4"/>
    </row>
    <row r="80" customFormat="false" ht="15" hidden="false" customHeight="false" outlineLevel="0" collapsed="false">
      <c r="A80" s="4"/>
      <c r="B80" s="4"/>
      <c r="C80" s="5" t="str">
        <f aca="false">IF($A80="","",SUMIFS(Movements!$D$5:$D$304,Movements!$C$5:$C$304,$A80,Movements!$B$5:$B$304,"Build"))</f>
        <v/>
      </c>
      <c r="D80" s="5" t="str">
        <f aca="false">IF($A80="","",SUMIFS(Movements!$D$5:$D$304,Movements!$C$5:$C$304,$A80,Movements!$B$5:$B$304,"Adjust"))</f>
        <v/>
      </c>
      <c r="E80" s="5" t="str">
        <f aca="false">IF($A80="","",SUMIFS(Recipes!$H$5:$H$104,Recipes!$C$5:$C$104,$A80,Recipes!$B$5:$B$104,"C"))</f>
        <v/>
      </c>
      <c r="F80" s="5" t="str">
        <f aca="false">IF($A80="","",MAX(0,$C80+$D80-$E80))</f>
        <v/>
      </c>
      <c r="G80" s="6" t="str">
        <f aca="false">IF($A80="","",MAX($C80,$E80))</f>
        <v/>
      </c>
      <c r="H80" s="5" t="str">
        <f aca="false">IF($A80="","",_xlfn.MINIFS(Recipes!$I$5:$I$104,Recipes!$A$5:$A$104,$A80,Recipes!$B$5:$B$104,"B"))</f>
        <v/>
      </c>
      <c r="I80" s="5" t="str">
        <f aca="false">IF($A80="","",$F80+$H80)</f>
        <v/>
      </c>
      <c r="J80" s="5" t="str">
        <f aca="false">IF($A80="","",IFERROR(INDEX(Recipes!$C$5:$C$104,MATCH($A80&amp;"|"&amp;$H80,Recipes!$M$5:$M$104,0)),""))</f>
        <v/>
      </c>
      <c r="K80" s="5" t="str">
        <f aca="false">IF($A80="","",COUNTIFS(Recipes!$C$5:$C$104,$A80,Recipes!$B$5:$B$104,"C"))</f>
        <v/>
      </c>
      <c r="L80" s="4"/>
    </row>
    <row r="81" customFormat="false" ht="15" hidden="false" customHeight="false" outlineLevel="0" collapsed="false">
      <c r="A81" s="4"/>
      <c r="B81" s="4"/>
      <c r="C81" s="5" t="str">
        <f aca="false">IF($A81="","",SUMIFS(Movements!$D$5:$D$304,Movements!$C$5:$C$304,$A81,Movements!$B$5:$B$304,"Build"))</f>
        <v/>
      </c>
      <c r="D81" s="5" t="str">
        <f aca="false">IF($A81="","",SUMIFS(Movements!$D$5:$D$304,Movements!$C$5:$C$304,$A81,Movements!$B$5:$B$304,"Adjust"))</f>
        <v/>
      </c>
      <c r="E81" s="5" t="str">
        <f aca="false">IF($A81="","",SUMIFS(Recipes!$H$5:$H$104,Recipes!$C$5:$C$104,$A81,Recipes!$B$5:$B$104,"C"))</f>
        <v/>
      </c>
      <c r="F81" s="5" t="str">
        <f aca="false">IF($A81="","",MAX(0,$C81+$D81-$E81))</f>
        <v/>
      </c>
      <c r="G81" s="6" t="str">
        <f aca="false">IF($A81="","",MAX($C81,$E81))</f>
        <v/>
      </c>
      <c r="H81" s="5" t="str">
        <f aca="false">IF($A81="","",_xlfn.MINIFS(Recipes!$I$5:$I$104,Recipes!$A$5:$A$104,$A81,Recipes!$B$5:$B$104,"B"))</f>
        <v/>
      </c>
      <c r="I81" s="5" t="str">
        <f aca="false">IF($A81="","",$F81+$H81)</f>
        <v/>
      </c>
      <c r="J81" s="5" t="str">
        <f aca="false">IF($A81="","",IFERROR(INDEX(Recipes!$C$5:$C$104,MATCH($A81&amp;"|"&amp;$H81,Recipes!$M$5:$M$104,0)),""))</f>
        <v/>
      </c>
      <c r="K81" s="5" t="str">
        <f aca="false">IF($A81="","",COUNTIFS(Recipes!$C$5:$C$104,$A81,Recipes!$B$5:$B$104,"C"))</f>
        <v/>
      </c>
      <c r="L81" s="4"/>
    </row>
    <row r="82" customFormat="false" ht="15" hidden="false" customHeight="false" outlineLevel="0" collapsed="false">
      <c r="A82" s="4"/>
      <c r="B82" s="4"/>
      <c r="C82" s="5" t="str">
        <f aca="false">IF($A82="","",SUMIFS(Movements!$D$5:$D$304,Movements!$C$5:$C$304,$A82,Movements!$B$5:$B$304,"Build"))</f>
        <v/>
      </c>
      <c r="D82" s="5" t="str">
        <f aca="false">IF($A82="","",SUMIFS(Movements!$D$5:$D$304,Movements!$C$5:$C$304,$A82,Movements!$B$5:$B$304,"Adjust"))</f>
        <v/>
      </c>
      <c r="E82" s="5" t="str">
        <f aca="false">IF($A82="","",SUMIFS(Recipes!$H$5:$H$104,Recipes!$C$5:$C$104,$A82,Recipes!$B$5:$B$104,"C"))</f>
        <v/>
      </c>
      <c r="F82" s="5" t="str">
        <f aca="false">IF($A82="","",MAX(0,$C82+$D82-$E82))</f>
        <v/>
      </c>
      <c r="G82" s="6" t="str">
        <f aca="false">IF($A82="","",MAX($C82,$E82))</f>
        <v/>
      </c>
      <c r="H82" s="5" t="str">
        <f aca="false">IF($A82="","",_xlfn.MINIFS(Recipes!$I$5:$I$104,Recipes!$A$5:$A$104,$A82,Recipes!$B$5:$B$104,"B"))</f>
        <v/>
      </c>
      <c r="I82" s="5" t="str">
        <f aca="false">IF($A82="","",$F82+$H82)</f>
        <v/>
      </c>
      <c r="J82" s="5" t="str">
        <f aca="false">IF($A82="","",IFERROR(INDEX(Recipes!$C$5:$C$104,MATCH($A82&amp;"|"&amp;$H82,Recipes!$M$5:$M$104,0)),""))</f>
        <v/>
      </c>
      <c r="K82" s="5" t="str">
        <f aca="false">IF($A82="","",COUNTIFS(Recipes!$C$5:$C$104,$A82,Recipes!$B$5:$B$104,"C"))</f>
        <v/>
      </c>
      <c r="L82" s="4"/>
    </row>
    <row r="83" customFormat="false" ht="15" hidden="false" customHeight="false" outlineLevel="0" collapsed="false">
      <c r="A83" s="4"/>
      <c r="B83" s="4"/>
      <c r="C83" s="5" t="str">
        <f aca="false">IF($A83="","",SUMIFS(Movements!$D$5:$D$304,Movements!$C$5:$C$304,$A83,Movements!$B$5:$B$304,"Build"))</f>
        <v/>
      </c>
      <c r="D83" s="5" t="str">
        <f aca="false">IF($A83="","",SUMIFS(Movements!$D$5:$D$304,Movements!$C$5:$C$304,$A83,Movements!$B$5:$B$304,"Adjust"))</f>
        <v/>
      </c>
      <c r="E83" s="5" t="str">
        <f aca="false">IF($A83="","",SUMIFS(Recipes!$H$5:$H$104,Recipes!$C$5:$C$104,$A83,Recipes!$B$5:$B$104,"C"))</f>
        <v/>
      </c>
      <c r="F83" s="5" t="str">
        <f aca="false">IF($A83="","",MAX(0,$C83+$D83-$E83))</f>
        <v/>
      </c>
      <c r="G83" s="6" t="str">
        <f aca="false">IF($A83="","",MAX($C83,$E83))</f>
        <v/>
      </c>
      <c r="H83" s="5" t="str">
        <f aca="false">IF($A83="","",_xlfn.MINIFS(Recipes!$I$5:$I$104,Recipes!$A$5:$A$104,$A83,Recipes!$B$5:$B$104,"B"))</f>
        <v/>
      </c>
      <c r="I83" s="5" t="str">
        <f aca="false">IF($A83="","",$F83+$H83)</f>
        <v/>
      </c>
      <c r="J83" s="5" t="str">
        <f aca="false">IF($A83="","",IFERROR(INDEX(Recipes!$C$5:$C$104,MATCH($A83&amp;"|"&amp;$H83,Recipes!$M$5:$M$104,0)),""))</f>
        <v/>
      </c>
      <c r="K83" s="5" t="str">
        <f aca="false">IF($A83="","",COUNTIFS(Recipes!$C$5:$C$104,$A83,Recipes!$B$5:$B$104,"C"))</f>
        <v/>
      </c>
      <c r="L83" s="4"/>
    </row>
    <row r="84" customFormat="false" ht="15" hidden="false" customHeight="false" outlineLevel="0" collapsed="false">
      <c r="A84" s="4"/>
      <c r="B84" s="4"/>
      <c r="C84" s="5" t="str">
        <f aca="false">IF($A84="","",SUMIFS(Movements!$D$5:$D$304,Movements!$C$5:$C$304,$A84,Movements!$B$5:$B$304,"Build"))</f>
        <v/>
      </c>
      <c r="D84" s="5" t="str">
        <f aca="false">IF($A84="","",SUMIFS(Movements!$D$5:$D$304,Movements!$C$5:$C$304,$A84,Movements!$B$5:$B$304,"Adjust"))</f>
        <v/>
      </c>
      <c r="E84" s="5" t="str">
        <f aca="false">IF($A84="","",SUMIFS(Recipes!$H$5:$H$104,Recipes!$C$5:$C$104,$A84,Recipes!$B$5:$B$104,"C"))</f>
        <v/>
      </c>
      <c r="F84" s="5" t="str">
        <f aca="false">IF($A84="","",MAX(0,$C84+$D84-$E84))</f>
        <v/>
      </c>
      <c r="G84" s="6" t="str">
        <f aca="false">IF($A84="","",MAX($C84,$E84))</f>
        <v/>
      </c>
      <c r="H84" s="5" t="str">
        <f aca="false">IF($A84="","",_xlfn.MINIFS(Recipes!$I$5:$I$104,Recipes!$A$5:$A$104,$A84,Recipes!$B$5:$B$104,"B"))</f>
        <v/>
      </c>
      <c r="I84" s="5" t="str">
        <f aca="false">IF($A84="","",$F84+$H84)</f>
        <v/>
      </c>
      <c r="J84" s="5" t="str">
        <f aca="false">IF($A84="","",IFERROR(INDEX(Recipes!$C$5:$C$104,MATCH($A84&amp;"|"&amp;$H84,Recipes!$M$5:$M$104,0)),""))</f>
        <v/>
      </c>
      <c r="K84" s="5" t="str">
        <f aca="false">IF($A84="","",COUNTIFS(Recipes!$C$5:$C$104,$A84,Recipes!$B$5:$B$104,"C"))</f>
        <v/>
      </c>
      <c r="L84" s="4"/>
    </row>
    <row r="85" customFormat="false" ht="15" hidden="false" customHeight="false" outlineLevel="0" collapsed="false">
      <c r="A85" s="4"/>
      <c r="B85" s="4"/>
      <c r="C85" s="5" t="str">
        <f aca="false">IF($A85="","",SUMIFS(Movements!$D$5:$D$304,Movements!$C$5:$C$304,$A85,Movements!$B$5:$B$304,"Build"))</f>
        <v/>
      </c>
      <c r="D85" s="5" t="str">
        <f aca="false">IF($A85="","",SUMIFS(Movements!$D$5:$D$304,Movements!$C$5:$C$304,$A85,Movements!$B$5:$B$304,"Adjust"))</f>
        <v/>
      </c>
      <c r="E85" s="5" t="str">
        <f aca="false">IF($A85="","",SUMIFS(Recipes!$H$5:$H$104,Recipes!$C$5:$C$104,$A85,Recipes!$B$5:$B$104,"C"))</f>
        <v/>
      </c>
      <c r="F85" s="5" t="str">
        <f aca="false">IF($A85="","",MAX(0,$C85+$D85-$E85))</f>
        <v/>
      </c>
      <c r="G85" s="6" t="str">
        <f aca="false">IF($A85="","",MAX($C85,$E85))</f>
        <v/>
      </c>
      <c r="H85" s="5" t="str">
        <f aca="false">IF($A85="","",_xlfn.MINIFS(Recipes!$I$5:$I$104,Recipes!$A$5:$A$104,$A85,Recipes!$B$5:$B$104,"B"))</f>
        <v/>
      </c>
      <c r="I85" s="5" t="str">
        <f aca="false">IF($A85="","",$F85+$H85)</f>
        <v/>
      </c>
      <c r="J85" s="5" t="str">
        <f aca="false">IF($A85="","",IFERROR(INDEX(Recipes!$C$5:$C$104,MATCH($A85&amp;"|"&amp;$H85,Recipes!$M$5:$M$104,0)),""))</f>
        <v/>
      </c>
      <c r="K85" s="5" t="str">
        <f aca="false">IF($A85="","",COUNTIFS(Recipes!$C$5:$C$104,$A85,Recipes!$B$5:$B$104,"C"))</f>
        <v/>
      </c>
      <c r="L85" s="4"/>
    </row>
    <row r="86" customFormat="false" ht="15" hidden="false" customHeight="false" outlineLevel="0" collapsed="false">
      <c r="A86" s="4"/>
      <c r="B86" s="4"/>
      <c r="C86" s="5" t="str">
        <f aca="false">IF($A86="","",SUMIFS(Movements!$D$5:$D$304,Movements!$C$5:$C$304,$A86,Movements!$B$5:$B$304,"Build"))</f>
        <v/>
      </c>
      <c r="D86" s="5" t="str">
        <f aca="false">IF($A86="","",SUMIFS(Movements!$D$5:$D$304,Movements!$C$5:$C$304,$A86,Movements!$B$5:$B$304,"Adjust"))</f>
        <v/>
      </c>
      <c r="E86" s="5" t="str">
        <f aca="false">IF($A86="","",SUMIFS(Recipes!$H$5:$H$104,Recipes!$C$5:$C$104,$A86,Recipes!$B$5:$B$104,"C"))</f>
        <v/>
      </c>
      <c r="F86" s="5" t="str">
        <f aca="false">IF($A86="","",MAX(0,$C86+$D86-$E86))</f>
        <v/>
      </c>
      <c r="G86" s="6" t="str">
        <f aca="false">IF($A86="","",MAX($C86,$E86))</f>
        <v/>
      </c>
      <c r="H86" s="5" t="str">
        <f aca="false">IF($A86="","",_xlfn.MINIFS(Recipes!$I$5:$I$104,Recipes!$A$5:$A$104,$A86,Recipes!$B$5:$B$104,"B"))</f>
        <v/>
      </c>
      <c r="I86" s="5" t="str">
        <f aca="false">IF($A86="","",$F86+$H86)</f>
        <v/>
      </c>
      <c r="J86" s="5" t="str">
        <f aca="false">IF($A86="","",IFERROR(INDEX(Recipes!$C$5:$C$104,MATCH($A86&amp;"|"&amp;$H86,Recipes!$M$5:$M$104,0)),""))</f>
        <v/>
      </c>
      <c r="K86" s="5" t="str">
        <f aca="false">IF($A86="","",COUNTIFS(Recipes!$C$5:$C$104,$A86,Recipes!$B$5:$B$104,"C"))</f>
        <v/>
      </c>
      <c r="L86" s="4"/>
    </row>
    <row r="87" customFormat="false" ht="15" hidden="false" customHeight="false" outlineLevel="0" collapsed="false">
      <c r="A87" s="4"/>
      <c r="B87" s="4"/>
      <c r="C87" s="5" t="str">
        <f aca="false">IF($A87="","",SUMIFS(Movements!$D$5:$D$304,Movements!$C$5:$C$304,$A87,Movements!$B$5:$B$304,"Build"))</f>
        <v/>
      </c>
      <c r="D87" s="5" t="str">
        <f aca="false">IF($A87="","",SUMIFS(Movements!$D$5:$D$304,Movements!$C$5:$C$304,$A87,Movements!$B$5:$B$304,"Adjust"))</f>
        <v/>
      </c>
      <c r="E87" s="5" t="str">
        <f aca="false">IF($A87="","",SUMIFS(Recipes!$H$5:$H$104,Recipes!$C$5:$C$104,$A87,Recipes!$B$5:$B$104,"C"))</f>
        <v/>
      </c>
      <c r="F87" s="5" t="str">
        <f aca="false">IF($A87="","",MAX(0,$C87+$D87-$E87))</f>
        <v/>
      </c>
      <c r="G87" s="6" t="str">
        <f aca="false">IF($A87="","",MAX($C87,$E87))</f>
        <v/>
      </c>
      <c r="H87" s="5" t="str">
        <f aca="false">IF($A87="","",_xlfn.MINIFS(Recipes!$I$5:$I$104,Recipes!$A$5:$A$104,$A87,Recipes!$B$5:$B$104,"B"))</f>
        <v/>
      </c>
      <c r="I87" s="5" t="str">
        <f aca="false">IF($A87="","",$F87+$H87)</f>
        <v/>
      </c>
      <c r="J87" s="5" t="str">
        <f aca="false">IF($A87="","",IFERROR(INDEX(Recipes!$C$5:$C$104,MATCH($A87&amp;"|"&amp;$H87,Recipes!$M$5:$M$104,0)),""))</f>
        <v/>
      </c>
      <c r="K87" s="5" t="str">
        <f aca="false">IF($A87="","",COUNTIFS(Recipes!$C$5:$C$104,$A87,Recipes!$B$5:$B$104,"C"))</f>
        <v/>
      </c>
      <c r="L87" s="4"/>
    </row>
    <row r="88" customFormat="false" ht="15" hidden="false" customHeight="false" outlineLevel="0" collapsed="false">
      <c r="A88" s="4"/>
      <c r="B88" s="4"/>
      <c r="C88" s="5" t="str">
        <f aca="false">IF($A88="","",SUMIFS(Movements!$D$5:$D$304,Movements!$C$5:$C$304,$A88,Movements!$B$5:$B$304,"Build"))</f>
        <v/>
      </c>
      <c r="D88" s="5" t="str">
        <f aca="false">IF($A88="","",SUMIFS(Movements!$D$5:$D$304,Movements!$C$5:$C$304,$A88,Movements!$B$5:$B$304,"Adjust"))</f>
        <v/>
      </c>
      <c r="E88" s="5" t="str">
        <f aca="false">IF($A88="","",SUMIFS(Recipes!$H$5:$H$104,Recipes!$C$5:$C$104,$A88,Recipes!$B$5:$B$104,"C"))</f>
        <v/>
      </c>
      <c r="F88" s="5" t="str">
        <f aca="false">IF($A88="","",MAX(0,$C88+$D88-$E88))</f>
        <v/>
      </c>
      <c r="G88" s="6" t="str">
        <f aca="false">IF($A88="","",MAX($C88,$E88))</f>
        <v/>
      </c>
      <c r="H88" s="5" t="str">
        <f aca="false">IF($A88="","",_xlfn.MINIFS(Recipes!$I$5:$I$104,Recipes!$A$5:$A$104,$A88,Recipes!$B$5:$B$104,"B"))</f>
        <v/>
      </c>
      <c r="I88" s="5" t="str">
        <f aca="false">IF($A88="","",$F88+$H88)</f>
        <v/>
      </c>
      <c r="J88" s="5" t="str">
        <f aca="false">IF($A88="","",IFERROR(INDEX(Recipes!$C$5:$C$104,MATCH($A88&amp;"|"&amp;$H88,Recipes!$M$5:$M$104,0)),""))</f>
        <v/>
      </c>
      <c r="K88" s="5" t="str">
        <f aca="false">IF($A88="","",COUNTIFS(Recipes!$C$5:$C$104,$A88,Recipes!$B$5:$B$104,"C"))</f>
        <v/>
      </c>
      <c r="L88" s="4"/>
    </row>
    <row r="89" customFormat="false" ht="15" hidden="false" customHeight="false" outlineLevel="0" collapsed="false">
      <c r="A89" s="4"/>
      <c r="B89" s="4"/>
      <c r="C89" s="5" t="str">
        <f aca="false">IF($A89="","",SUMIFS(Movements!$D$5:$D$304,Movements!$C$5:$C$304,$A89,Movements!$B$5:$B$304,"Build"))</f>
        <v/>
      </c>
      <c r="D89" s="5" t="str">
        <f aca="false">IF($A89="","",SUMIFS(Movements!$D$5:$D$304,Movements!$C$5:$C$304,$A89,Movements!$B$5:$B$304,"Adjust"))</f>
        <v/>
      </c>
      <c r="E89" s="5" t="str">
        <f aca="false">IF($A89="","",SUMIFS(Recipes!$H$5:$H$104,Recipes!$C$5:$C$104,$A89,Recipes!$B$5:$B$104,"C"))</f>
        <v/>
      </c>
      <c r="F89" s="5" t="str">
        <f aca="false">IF($A89="","",MAX(0,$C89+$D89-$E89))</f>
        <v/>
      </c>
      <c r="G89" s="6" t="str">
        <f aca="false">IF($A89="","",MAX($C89,$E89))</f>
        <v/>
      </c>
      <c r="H89" s="5" t="str">
        <f aca="false">IF($A89="","",_xlfn.MINIFS(Recipes!$I$5:$I$104,Recipes!$A$5:$A$104,$A89,Recipes!$B$5:$B$104,"B"))</f>
        <v/>
      </c>
      <c r="I89" s="5" t="str">
        <f aca="false">IF($A89="","",$F89+$H89)</f>
        <v/>
      </c>
      <c r="J89" s="5" t="str">
        <f aca="false">IF($A89="","",IFERROR(INDEX(Recipes!$C$5:$C$104,MATCH($A89&amp;"|"&amp;$H89,Recipes!$M$5:$M$104,0)),""))</f>
        <v/>
      </c>
      <c r="K89" s="5" t="str">
        <f aca="false">IF($A89="","",COUNTIFS(Recipes!$C$5:$C$104,$A89,Recipes!$B$5:$B$104,"C"))</f>
        <v/>
      </c>
      <c r="L89" s="4"/>
    </row>
    <row r="90" customFormat="false" ht="15" hidden="false" customHeight="false" outlineLevel="0" collapsed="false">
      <c r="A90" s="4"/>
      <c r="B90" s="4"/>
      <c r="C90" s="5" t="str">
        <f aca="false">IF($A90="","",SUMIFS(Movements!$D$5:$D$304,Movements!$C$5:$C$304,$A90,Movements!$B$5:$B$304,"Build"))</f>
        <v/>
      </c>
      <c r="D90" s="5" t="str">
        <f aca="false">IF($A90="","",SUMIFS(Movements!$D$5:$D$304,Movements!$C$5:$C$304,$A90,Movements!$B$5:$B$304,"Adjust"))</f>
        <v/>
      </c>
      <c r="E90" s="5" t="str">
        <f aca="false">IF($A90="","",SUMIFS(Recipes!$H$5:$H$104,Recipes!$C$5:$C$104,$A90,Recipes!$B$5:$B$104,"C"))</f>
        <v/>
      </c>
      <c r="F90" s="5" t="str">
        <f aca="false">IF($A90="","",MAX(0,$C90+$D90-$E90))</f>
        <v/>
      </c>
      <c r="G90" s="6" t="str">
        <f aca="false">IF($A90="","",MAX($C90,$E90))</f>
        <v/>
      </c>
      <c r="H90" s="5" t="str">
        <f aca="false">IF($A90="","",_xlfn.MINIFS(Recipes!$I$5:$I$104,Recipes!$A$5:$A$104,$A90,Recipes!$B$5:$B$104,"B"))</f>
        <v/>
      </c>
      <c r="I90" s="5" t="str">
        <f aca="false">IF($A90="","",$F90+$H90)</f>
        <v/>
      </c>
      <c r="J90" s="5" t="str">
        <f aca="false">IF($A90="","",IFERROR(INDEX(Recipes!$C$5:$C$104,MATCH($A90&amp;"|"&amp;$H90,Recipes!$M$5:$M$104,0)),""))</f>
        <v/>
      </c>
      <c r="K90" s="5" t="str">
        <f aca="false">IF($A90="","",COUNTIFS(Recipes!$C$5:$C$104,$A90,Recipes!$B$5:$B$104,"C"))</f>
        <v/>
      </c>
      <c r="L90" s="4"/>
    </row>
    <row r="91" customFormat="false" ht="15" hidden="false" customHeight="false" outlineLevel="0" collapsed="false">
      <c r="A91" s="4"/>
      <c r="B91" s="4"/>
      <c r="C91" s="5" t="str">
        <f aca="false">IF($A91="","",SUMIFS(Movements!$D$5:$D$304,Movements!$C$5:$C$304,$A91,Movements!$B$5:$B$304,"Build"))</f>
        <v/>
      </c>
      <c r="D91" s="5" t="str">
        <f aca="false">IF($A91="","",SUMIFS(Movements!$D$5:$D$304,Movements!$C$5:$C$304,$A91,Movements!$B$5:$B$304,"Adjust"))</f>
        <v/>
      </c>
      <c r="E91" s="5" t="str">
        <f aca="false">IF($A91="","",SUMIFS(Recipes!$H$5:$H$104,Recipes!$C$5:$C$104,$A91,Recipes!$B$5:$B$104,"C"))</f>
        <v/>
      </c>
      <c r="F91" s="5" t="str">
        <f aca="false">IF($A91="","",MAX(0,$C91+$D91-$E91))</f>
        <v/>
      </c>
      <c r="G91" s="6" t="str">
        <f aca="false">IF($A91="","",MAX($C91,$E91))</f>
        <v/>
      </c>
      <c r="H91" s="5" t="str">
        <f aca="false">IF($A91="","",_xlfn.MINIFS(Recipes!$I$5:$I$104,Recipes!$A$5:$A$104,$A91,Recipes!$B$5:$B$104,"B"))</f>
        <v/>
      </c>
      <c r="I91" s="5" t="str">
        <f aca="false">IF($A91="","",$F91+$H91)</f>
        <v/>
      </c>
      <c r="J91" s="5" t="str">
        <f aca="false">IF($A91="","",IFERROR(INDEX(Recipes!$C$5:$C$104,MATCH($A91&amp;"|"&amp;$H91,Recipes!$M$5:$M$104,0)),""))</f>
        <v/>
      </c>
      <c r="K91" s="5" t="str">
        <f aca="false">IF($A91="","",COUNTIFS(Recipes!$C$5:$C$104,$A91,Recipes!$B$5:$B$104,"C"))</f>
        <v/>
      </c>
      <c r="L91" s="4"/>
    </row>
    <row r="92" customFormat="false" ht="15" hidden="false" customHeight="false" outlineLevel="0" collapsed="false">
      <c r="A92" s="4"/>
      <c r="B92" s="4"/>
      <c r="C92" s="5" t="str">
        <f aca="false">IF($A92="","",SUMIFS(Movements!$D$5:$D$304,Movements!$C$5:$C$304,$A92,Movements!$B$5:$B$304,"Build"))</f>
        <v/>
      </c>
      <c r="D92" s="5" t="str">
        <f aca="false">IF($A92="","",SUMIFS(Movements!$D$5:$D$304,Movements!$C$5:$C$304,$A92,Movements!$B$5:$B$304,"Adjust"))</f>
        <v/>
      </c>
      <c r="E92" s="5" t="str">
        <f aca="false">IF($A92="","",SUMIFS(Recipes!$H$5:$H$104,Recipes!$C$5:$C$104,$A92,Recipes!$B$5:$B$104,"C"))</f>
        <v/>
      </c>
      <c r="F92" s="5" t="str">
        <f aca="false">IF($A92="","",MAX(0,$C92+$D92-$E92))</f>
        <v/>
      </c>
      <c r="G92" s="6" t="str">
        <f aca="false">IF($A92="","",MAX($C92,$E92))</f>
        <v/>
      </c>
      <c r="H92" s="5" t="str">
        <f aca="false">IF($A92="","",_xlfn.MINIFS(Recipes!$I$5:$I$104,Recipes!$A$5:$A$104,$A92,Recipes!$B$5:$B$104,"B"))</f>
        <v/>
      </c>
      <c r="I92" s="5" t="str">
        <f aca="false">IF($A92="","",$F92+$H92)</f>
        <v/>
      </c>
      <c r="J92" s="5" t="str">
        <f aca="false">IF($A92="","",IFERROR(INDEX(Recipes!$C$5:$C$104,MATCH($A92&amp;"|"&amp;$H92,Recipes!$M$5:$M$104,0)),""))</f>
        <v/>
      </c>
      <c r="K92" s="5" t="str">
        <f aca="false">IF($A92="","",COUNTIFS(Recipes!$C$5:$C$104,$A92,Recipes!$B$5:$B$104,"C"))</f>
        <v/>
      </c>
      <c r="L92" s="4"/>
    </row>
    <row r="93" customFormat="false" ht="15" hidden="false" customHeight="false" outlineLevel="0" collapsed="false">
      <c r="A93" s="4"/>
      <c r="B93" s="4"/>
      <c r="C93" s="5" t="str">
        <f aca="false">IF($A93="","",SUMIFS(Movements!$D$5:$D$304,Movements!$C$5:$C$304,$A93,Movements!$B$5:$B$304,"Build"))</f>
        <v/>
      </c>
      <c r="D93" s="5" t="str">
        <f aca="false">IF($A93="","",SUMIFS(Movements!$D$5:$D$304,Movements!$C$5:$C$304,$A93,Movements!$B$5:$B$304,"Adjust"))</f>
        <v/>
      </c>
      <c r="E93" s="5" t="str">
        <f aca="false">IF($A93="","",SUMIFS(Recipes!$H$5:$H$104,Recipes!$C$5:$C$104,$A93,Recipes!$B$5:$B$104,"C"))</f>
        <v/>
      </c>
      <c r="F93" s="5" t="str">
        <f aca="false">IF($A93="","",MAX(0,$C93+$D93-$E93))</f>
        <v/>
      </c>
      <c r="G93" s="6" t="str">
        <f aca="false">IF($A93="","",MAX($C93,$E93))</f>
        <v/>
      </c>
      <c r="H93" s="5" t="str">
        <f aca="false">IF($A93="","",_xlfn.MINIFS(Recipes!$I$5:$I$104,Recipes!$A$5:$A$104,$A93,Recipes!$B$5:$B$104,"B"))</f>
        <v/>
      </c>
      <c r="I93" s="5" t="str">
        <f aca="false">IF($A93="","",$F93+$H93)</f>
        <v/>
      </c>
      <c r="J93" s="5" t="str">
        <f aca="false">IF($A93="","",IFERROR(INDEX(Recipes!$C$5:$C$104,MATCH($A93&amp;"|"&amp;$H93,Recipes!$M$5:$M$104,0)),""))</f>
        <v/>
      </c>
      <c r="K93" s="5" t="str">
        <f aca="false">IF($A93="","",COUNTIFS(Recipes!$C$5:$C$104,$A93,Recipes!$B$5:$B$104,"C"))</f>
        <v/>
      </c>
      <c r="L93" s="4"/>
    </row>
    <row r="94" customFormat="false" ht="15" hidden="false" customHeight="false" outlineLevel="0" collapsed="false">
      <c r="A94" s="4"/>
      <c r="B94" s="4"/>
      <c r="C94" s="5" t="str">
        <f aca="false">IF($A94="","",SUMIFS(Movements!$D$5:$D$304,Movements!$C$5:$C$304,$A94,Movements!$B$5:$B$304,"Build"))</f>
        <v/>
      </c>
      <c r="D94" s="5" t="str">
        <f aca="false">IF($A94="","",SUMIFS(Movements!$D$5:$D$304,Movements!$C$5:$C$304,$A94,Movements!$B$5:$B$304,"Adjust"))</f>
        <v/>
      </c>
      <c r="E94" s="5" t="str">
        <f aca="false">IF($A94="","",SUMIFS(Recipes!$H$5:$H$104,Recipes!$C$5:$C$104,$A94,Recipes!$B$5:$B$104,"C"))</f>
        <v/>
      </c>
      <c r="F94" s="5" t="str">
        <f aca="false">IF($A94="","",MAX(0,$C94+$D94-$E94))</f>
        <v/>
      </c>
      <c r="G94" s="6" t="str">
        <f aca="false">IF($A94="","",MAX($C94,$E94))</f>
        <v/>
      </c>
      <c r="H94" s="5" t="str">
        <f aca="false">IF($A94="","",_xlfn.MINIFS(Recipes!$I$5:$I$104,Recipes!$A$5:$A$104,$A94,Recipes!$B$5:$B$104,"B"))</f>
        <v/>
      </c>
      <c r="I94" s="5" t="str">
        <f aca="false">IF($A94="","",$F94+$H94)</f>
        <v/>
      </c>
      <c r="J94" s="5" t="str">
        <f aca="false">IF($A94="","",IFERROR(INDEX(Recipes!$C$5:$C$104,MATCH($A94&amp;"|"&amp;$H94,Recipes!$M$5:$M$104,0)),""))</f>
        <v/>
      </c>
      <c r="K94" s="5" t="str">
        <f aca="false">IF($A94="","",COUNTIFS(Recipes!$C$5:$C$104,$A94,Recipes!$B$5:$B$104,"C"))</f>
        <v/>
      </c>
      <c r="L94" s="4"/>
    </row>
    <row r="95" customFormat="false" ht="15" hidden="false" customHeight="false" outlineLevel="0" collapsed="false">
      <c r="A95" s="4"/>
      <c r="B95" s="4"/>
      <c r="C95" s="5" t="str">
        <f aca="false">IF($A95="","",SUMIFS(Movements!$D$5:$D$304,Movements!$C$5:$C$304,$A95,Movements!$B$5:$B$304,"Build"))</f>
        <v/>
      </c>
      <c r="D95" s="5" t="str">
        <f aca="false">IF($A95="","",SUMIFS(Movements!$D$5:$D$304,Movements!$C$5:$C$304,$A95,Movements!$B$5:$B$304,"Adjust"))</f>
        <v/>
      </c>
      <c r="E95" s="5" t="str">
        <f aca="false">IF($A95="","",SUMIFS(Recipes!$H$5:$H$104,Recipes!$C$5:$C$104,$A95,Recipes!$B$5:$B$104,"C"))</f>
        <v/>
      </c>
      <c r="F95" s="5" t="str">
        <f aca="false">IF($A95="","",MAX(0,$C95+$D95-$E95))</f>
        <v/>
      </c>
      <c r="G95" s="6" t="str">
        <f aca="false">IF($A95="","",MAX($C95,$E95))</f>
        <v/>
      </c>
      <c r="H95" s="5" t="str">
        <f aca="false">IF($A95="","",_xlfn.MINIFS(Recipes!$I$5:$I$104,Recipes!$A$5:$A$104,$A95,Recipes!$B$5:$B$104,"B"))</f>
        <v/>
      </c>
      <c r="I95" s="5" t="str">
        <f aca="false">IF($A95="","",$F95+$H95)</f>
        <v/>
      </c>
      <c r="J95" s="5" t="str">
        <f aca="false">IF($A95="","",IFERROR(INDEX(Recipes!$C$5:$C$104,MATCH($A95&amp;"|"&amp;$H95,Recipes!$M$5:$M$104,0)),""))</f>
        <v/>
      </c>
      <c r="K95" s="5" t="str">
        <f aca="false">IF($A95="","",COUNTIFS(Recipes!$C$5:$C$104,$A95,Recipes!$B$5:$B$104,"C"))</f>
        <v/>
      </c>
      <c r="L95" s="4"/>
    </row>
    <row r="96" customFormat="false" ht="15" hidden="false" customHeight="false" outlineLevel="0" collapsed="false">
      <c r="A96" s="4"/>
      <c r="B96" s="4"/>
      <c r="C96" s="5" t="str">
        <f aca="false">IF($A96="","",SUMIFS(Movements!$D$5:$D$304,Movements!$C$5:$C$304,$A96,Movements!$B$5:$B$304,"Build"))</f>
        <v/>
      </c>
      <c r="D96" s="5" t="str">
        <f aca="false">IF($A96="","",SUMIFS(Movements!$D$5:$D$304,Movements!$C$5:$C$304,$A96,Movements!$B$5:$B$304,"Adjust"))</f>
        <v/>
      </c>
      <c r="E96" s="5" t="str">
        <f aca="false">IF($A96="","",SUMIFS(Recipes!$H$5:$H$104,Recipes!$C$5:$C$104,$A96,Recipes!$B$5:$B$104,"C"))</f>
        <v/>
      </c>
      <c r="F96" s="5" t="str">
        <f aca="false">IF($A96="","",MAX(0,$C96+$D96-$E96))</f>
        <v/>
      </c>
      <c r="G96" s="6" t="str">
        <f aca="false">IF($A96="","",MAX($C96,$E96))</f>
        <v/>
      </c>
      <c r="H96" s="5" t="str">
        <f aca="false">IF($A96="","",_xlfn.MINIFS(Recipes!$I$5:$I$104,Recipes!$A$5:$A$104,$A96,Recipes!$B$5:$B$104,"B"))</f>
        <v/>
      </c>
      <c r="I96" s="5" t="str">
        <f aca="false">IF($A96="","",$F96+$H96)</f>
        <v/>
      </c>
      <c r="J96" s="5" t="str">
        <f aca="false">IF($A96="","",IFERROR(INDEX(Recipes!$C$5:$C$104,MATCH($A96&amp;"|"&amp;$H96,Recipes!$M$5:$M$104,0)),""))</f>
        <v/>
      </c>
      <c r="K96" s="5" t="str">
        <f aca="false">IF($A96="","",COUNTIFS(Recipes!$C$5:$C$104,$A96,Recipes!$B$5:$B$104,"C"))</f>
        <v/>
      </c>
      <c r="L96" s="4"/>
    </row>
    <row r="97" customFormat="false" ht="15" hidden="false" customHeight="false" outlineLevel="0" collapsed="false">
      <c r="A97" s="4"/>
      <c r="B97" s="4"/>
      <c r="C97" s="5" t="str">
        <f aca="false">IF($A97="","",SUMIFS(Movements!$D$5:$D$304,Movements!$C$5:$C$304,$A97,Movements!$B$5:$B$304,"Build"))</f>
        <v/>
      </c>
      <c r="D97" s="5" t="str">
        <f aca="false">IF($A97="","",SUMIFS(Movements!$D$5:$D$304,Movements!$C$5:$C$304,$A97,Movements!$B$5:$B$304,"Adjust"))</f>
        <v/>
      </c>
      <c r="E97" s="5" t="str">
        <f aca="false">IF($A97="","",SUMIFS(Recipes!$H$5:$H$104,Recipes!$C$5:$C$104,$A97,Recipes!$B$5:$B$104,"C"))</f>
        <v/>
      </c>
      <c r="F97" s="5" t="str">
        <f aca="false">IF($A97="","",MAX(0,$C97+$D97-$E97))</f>
        <v/>
      </c>
      <c r="G97" s="6" t="str">
        <f aca="false">IF($A97="","",MAX($C97,$E97))</f>
        <v/>
      </c>
      <c r="H97" s="5" t="str">
        <f aca="false">IF($A97="","",_xlfn.MINIFS(Recipes!$I$5:$I$104,Recipes!$A$5:$A$104,$A97,Recipes!$B$5:$B$104,"B"))</f>
        <v/>
      </c>
      <c r="I97" s="5" t="str">
        <f aca="false">IF($A97="","",$F97+$H97)</f>
        <v/>
      </c>
      <c r="J97" s="5" t="str">
        <f aca="false">IF($A97="","",IFERROR(INDEX(Recipes!$C$5:$C$104,MATCH($A97&amp;"|"&amp;$H97,Recipes!$M$5:$M$104,0)),""))</f>
        <v/>
      </c>
      <c r="K97" s="5" t="str">
        <f aca="false">IF($A97="","",COUNTIFS(Recipes!$C$5:$C$104,$A97,Recipes!$B$5:$B$104,"C"))</f>
        <v/>
      </c>
      <c r="L97" s="4"/>
    </row>
    <row r="98" customFormat="false" ht="15" hidden="false" customHeight="false" outlineLevel="0" collapsed="false">
      <c r="A98" s="4"/>
      <c r="B98" s="4"/>
      <c r="C98" s="5" t="str">
        <f aca="false">IF($A98="","",SUMIFS(Movements!$D$5:$D$304,Movements!$C$5:$C$304,$A98,Movements!$B$5:$B$304,"Build"))</f>
        <v/>
      </c>
      <c r="D98" s="5" t="str">
        <f aca="false">IF($A98="","",SUMIFS(Movements!$D$5:$D$304,Movements!$C$5:$C$304,$A98,Movements!$B$5:$B$304,"Adjust"))</f>
        <v/>
      </c>
      <c r="E98" s="5" t="str">
        <f aca="false">IF($A98="","",SUMIFS(Recipes!$H$5:$H$104,Recipes!$C$5:$C$104,$A98,Recipes!$B$5:$B$104,"C"))</f>
        <v/>
      </c>
      <c r="F98" s="5" t="str">
        <f aca="false">IF($A98="","",MAX(0,$C98+$D98-$E98))</f>
        <v/>
      </c>
      <c r="G98" s="6" t="str">
        <f aca="false">IF($A98="","",MAX($C98,$E98))</f>
        <v/>
      </c>
      <c r="H98" s="5" t="str">
        <f aca="false">IF($A98="","",_xlfn.MINIFS(Recipes!$I$5:$I$104,Recipes!$A$5:$A$104,$A98,Recipes!$B$5:$B$104,"B"))</f>
        <v/>
      </c>
      <c r="I98" s="5" t="str">
        <f aca="false">IF($A98="","",$F98+$H98)</f>
        <v/>
      </c>
      <c r="J98" s="5" t="str">
        <f aca="false">IF($A98="","",IFERROR(INDEX(Recipes!$C$5:$C$104,MATCH($A98&amp;"|"&amp;$H98,Recipes!$M$5:$M$104,0)),""))</f>
        <v/>
      </c>
      <c r="K98" s="5" t="str">
        <f aca="false">IF($A98="","",COUNTIFS(Recipes!$C$5:$C$104,$A98,Recipes!$B$5:$B$104,"C"))</f>
        <v/>
      </c>
      <c r="L98" s="4"/>
    </row>
    <row r="99" customFormat="false" ht="15" hidden="false" customHeight="false" outlineLevel="0" collapsed="false">
      <c r="A99" s="4"/>
      <c r="B99" s="4"/>
      <c r="C99" s="5" t="str">
        <f aca="false">IF($A99="","",SUMIFS(Movements!$D$5:$D$304,Movements!$C$5:$C$304,$A99,Movements!$B$5:$B$304,"Build"))</f>
        <v/>
      </c>
      <c r="D99" s="5" t="str">
        <f aca="false">IF($A99="","",SUMIFS(Movements!$D$5:$D$304,Movements!$C$5:$C$304,$A99,Movements!$B$5:$B$304,"Adjust"))</f>
        <v/>
      </c>
      <c r="E99" s="5" t="str">
        <f aca="false">IF($A99="","",SUMIFS(Recipes!$H$5:$H$104,Recipes!$C$5:$C$104,$A99,Recipes!$B$5:$B$104,"C"))</f>
        <v/>
      </c>
      <c r="F99" s="5" t="str">
        <f aca="false">IF($A99="","",MAX(0,$C99+$D99-$E99))</f>
        <v/>
      </c>
      <c r="G99" s="6" t="str">
        <f aca="false">IF($A99="","",MAX($C99,$E99))</f>
        <v/>
      </c>
      <c r="H99" s="5" t="str">
        <f aca="false">IF($A99="","",_xlfn.MINIFS(Recipes!$I$5:$I$104,Recipes!$A$5:$A$104,$A99,Recipes!$B$5:$B$104,"B"))</f>
        <v/>
      </c>
      <c r="I99" s="5" t="str">
        <f aca="false">IF($A99="","",$F99+$H99)</f>
        <v/>
      </c>
      <c r="J99" s="5" t="str">
        <f aca="false">IF($A99="","",IFERROR(INDEX(Recipes!$C$5:$C$104,MATCH($A99&amp;"|"&amp;$H99,Recipes!$M$5:$M$104,0)),""))</f>
        <v/>
      </c>
      <c r="K99" s="5" t="str">
        <f aca="false">IF($A99="","",COUNTIFS(Recipes!$C$5:$C$104,$A99,Recipes!$B$5:$B$104,"C"))</f>
        <v/>
      </c>
      <c r="L99" s="4"/>
    </row>
    <row r="100" customFormat="false" ht="15" hidden="false" customHeight="false" outlineLevel="0" collapsed="false">
      <c r="A100" s="4"/>
      <c r="B100" s="4"/>
      <c r="C100" s="5" t="str">
        <f aca="false">IF($A100="","",SUMIFS(Movements!$D$5:$D$304,Movements!$C$5:$C$304,$A100,Movements!$B$5:$B$304,"Build"))</f>
        <v/>
      </c>
      <c r="D100" s="5" t="str">
        <f aca="false">IF($A100="","",SUMIFS(Movements!$D$5:$D$304,Movements!$C$5:$C$304,$A100,Movements!$B$5:$B$304,"Adjust"))</f>
        <v/>
      </c>
      <c r="E100" s="5" t="str">
        <f aca="false">IF($A100="","",SUMIFS(Recipes!$H$5:$H$104,Recipes!$C$5:$C$104,$A100,Recipes!$B$5:$B$104,"C"))</f>
        <v/>
      </c>
      <c r="F100" s="5" t="str">
        <f aca="false">IF($A100="","",MAX(0,$C100+$D100-$E100))</f>
        <v/>
      </c>
      <c r="G100" s="6" t="str">
        <f aca="false">IF($A100="","",MAX($C100,$E100))</f>
        <v/>
      </c>
      <c r="H100" s="5" t="str">
        <f aca="false">IF($A100="","",_xlfn.MINIFS(Recipes!$I$5:$I$104,Recipes!$A$5:$A$104,$A100,Recipes!$B$5:$B$104,"B"))</f>
        <v/>
      </c>
      <c r="I100" s="5" t="str">
        <f aca="false">IF($A100="","",$F100+$H100)</f>
        <v/>
      </c>
      <c r="J100" s="5" t="str">
        <f aca="false">IF($A100="","",IFERROR(INDEX(Recipes!$C$5:$C$104,MATCH($A100&amp;"|"&amp;$H100,Recipes!$M$5:$M$104,0)),""))</f>
        <v/>
      </c>
      <c r="K100" s="5" t="str">
        <f aca="false">IF($A100="","",COUNTIFS(Recipes!$C$5:$C$104,$A100,Recipes!$B$5:$B$104,"C"))</f>
        <v/>
      </c>
      <c r="L100" s="4"/>
    </row>
    <row r="101" customFormat="false" ht="15" hidden="false" customHeight="false" outlineLevel="0" collapsed="false">
      <c r="A101" s="4"/>
      <c r="B101" s="4"/>
      <c r="C101" s="5" t="str">
        <f aca="false">IF($A101="","",SUMIFS(Movements!$D$5:$D$304,Movements!$C$5:$C$304,$A101,Movements!$B$5:$B$304,"Build"))</f>
        <v/>
      </c>
      <c r="D101" s="5" t="str">
        <f aca="false">IF($A101="","",SUMIFS(Movements!$D$5:$D$304,Movements!$C$5:$C$304,$A101,Movements!$B$5:$B$304,"Adjust"))</f>
        <v/>
      </c>
      <c r="E101" s="5" t="str">
        <f aca="false">IF($A101="","",SUMIFS(Recipes!$H$5:$H$104,Recipes!$C$5:$C$104,$A101,Recipes!$B$5:$B$104,"C"))</f>
        <v/>
      </c>
      <c r="F101" s="5" t="str">
        <f aca="false">IF($A101="","",MAX(0,$C101+$D101-$E101))</f>
        <v/>
      </c>
      <c r="G101" s="6" t="str">
        <f aca="false">IF($A101="","",MAX($C101,$E101))</f>
        <v/>
      </c>
      <c r="H101" s="5" t="str">
        <f aca="false">IF($A101="","",_xlfn.MINIFS(Recipes!$I$5:$I$104,Recipes!$A$5:$A$104,$A101,Recipes!$B$5:$B$104,"B"))</f>
        <v/>
      </c>
      <c r="I101" s="5" t="str">
        <f aca="false">IF($A101="","",$F101+$H101)</f>
        <v/>
      </c>
      <c r="J101" s="5" t="str">
        <f aca="false">IF($A101="","",IFERROR(INDEX(Recipes!$C$5:$C$104,MATCH($A101&amp;"|"&amp;$H101,Recipes!$M$5:$M$104,0)),""))</f>
        <v/>
      </c>
      <c r="K101" s="5" t="str">
        <f aca="false">IF($A101="","",COUNTIFS(Recipes!$C$5:$C$104,$A101,Recipes!$B$5:$B$104,"C"))</f>
        <v/>
      </c>
      <c r="L101" s="4"/>
    </row>
    <row r="102" customFormat="false" ht="15" hidden="false" customHeight="false" outlineLevel="0" collapsed="false">
      <c r="A102" s="4"/>
      <c r="B102" s="4"/>
      <c r="C102" s="5" t="str">
        <f aca="false">IF($A102="","",SUMIFS(Movements!$D$5:$D$304,Movements!$C$5:$C$304,$A102,Movements!$B$5:$B$304,"Build"))</f>
        <v/>
      </c>
      <c r="D102" s="5" t="str">
        <f aca="false">IF($A102="","",SUMIFS(Movements!$D$5:$D$304,Movements!$C$5:$C$304,$A102,Movements!$B$5:$B$304,"Adjust"))</f>
        <v/>
      </c>
      <c r="E102" s="5" t="str">
        <f aca="false">IF($A102="","",SUMIFS(Recipes!$H$5:$H$104,Recipes!$C$5:$C$104,$A102,Recipes!$B$5:$B$104,"C"))</f>
        <v/>
      </c>
      <c r="F102" s="5" t="str">
        <f aca="false">IF($A102="","",MAX(0,$C102+$D102-$E102))</f>
        <v/>
      </c>
      <c r="G102" s="6" t="str">
        <f aca="false">IF($A102="","",MAX($C102,$E102))</f>
        <v/>
      </c>
      <c r="H102" s="5" t="str">
        <f aca="false">IF($A102="","",_xlfn.MINIFS(Recipes!$I$5:$I$104,Recipes!$A$5:$A$104,$A102,Recipes!$B$5:$B$104,"B"))</f>
        <v/>
      </c>
      <c r="I102" s="5" t="str">
        <f aca="false">IF($A102="","",$F102+$H102)</f>
        <v/>
      </c>
      <c r="J102" s="5" t="str">
        <f aca="false">IF($A102="","",IFERROR(INDEX(Recipes!$C$5:$C$104,MATCH($A102&amp;"|"&amp;$H102,Recipes!$M$5:$M$104,0)),""))</f>
        <v/>
      </c>
      <c r="K102" s="5" t="str">
        <f aca="false">IF($A102="","",COUNTIFS(Recipes!$C$5:$C$104,$A102,Recipes!$B$5:$B$104,"C"))</f>
        <v/>
      </c>
      <c r="L102" s="4"/>
    </row>
    <row r="103" customFormat="false" ht="15" hidden="false" customHeight="false" outlineLevel="0" collapsed="false">
      <c r="A103" s="4"/>
      <c r="B103" s="4"/>
      <c r="C103" s="5" t="str">
        <f aca="false">IF($A103="","",SUMIFS(Movements!$D$5:$D$304,Movements!$C$5:$C$304,$A103,Movements!$B$5:$B$304,"Build"))</f>
        <v/>
      </c>
      <c r="D103" s="5" t="str">
        <f aca="false">IF($A103="","",SUMIFS(Movements!$D$5:$D$304,Movements!$C$5:$C$304,$A103,Movements!$B$5:$B$304,"Adjust"))</f>
        <v/>
      </c>
      <c r="E103" s="5" t="str">
        <f aca="false">IF($A103="","",SUMIFS(Recipes!$H$5:$H$104,Recipes!$C$5:$C$104,$A103,Recipes!$B$5:$B$104,"C"))</f>
        <v/>
      </c>
      <c r="F103" s="5" t="str">
        <f aca="false">IF($A103="","",MAX(0,$C103+$D103-$E103))</f>
        <v/>
      </c>
      <c r="G103" s="6" t="str">
        <f aca="false">IF($A103="","",MAX($C103,$E103))</f>
        <v/>
      </c>
      <c r="H103" s="5" t="str">
        <f aca="false">IF($A103="","",_xlfn.MINIFS(Recipes!$I$5:$I$104,Recipes!$A$5:$A$104,$A103,Recipes!$B$5:$B$104,"B"))</f>
        <v/>
      </c>
      <c r="I103" s="5" t="str">
        <f aca="false">IF($A103="","",$F103+$H103)</f>
        <v/>
      </c>
      <c r="J103" s="5" t="str">
        <f aca="false">IF($A103="","",IFERROR(INDEX(Recipes!$C$5:$C$104,MATCH($A103&amp;"|"&amp;$H103,Recipes!$M$5:$M$104,0)),""))</f>
        <v/>
      </c>
      <c r="K103" s="5" t="str">
        <f aca="false">IF($A103="","",COUNTIFS(Recipes!$C$5:$C$104,$A103,Recipes!$B$5:$B$104,"C"))</f>
        <v/>
      </c>
      <c r="L103" s="4"/>
    </row>
    <row r="104" customFormat="false" ht="15" hidden="false" customHeight="false" outlineLevel="0" collapsed="false">
      <c r="A104" s="4"/>
      <c r="B104" s="4"/>
      <c r="C104" s="5" t="str">
        <f aca="false">IF($A104="","",SUMIFS(Movements!$D$5:$D$304,Movements!$C$5:$C$304,$A104,Movements!$B$5:$B$304,"Build"))</f>
        <v/>
      </c>
      <c r="D104" s="5" t="str">
        <f aca="false">IF($A104="","",SUMIFS(Movements!$D$5:$D$304,Movements!$C$5:$C$304,$A104,Movements!$B$5:$B$304,"Adjust"))</f>
        <v/>
      </c>
      <c r="E104" s="5" t="str">
        <f aca="false">IF($A104="","",SUMIFS(Recipes!$H$5:$H$104,Recipes!$C$5:$C$104,$A104,Recipes!$B$5:$B$104,"C"))</f>
        <v/>
      </c>
      <c r="F104" s="5" t="str">
        <f aca="false">IF($A104="","",MAX(0,$C104+$D104-$E104))</f>
        <v/>
      </c>
      <c r="G104" s="6" t="str">
        <f aca="false">IF($A104="","",MAX($C104,$E104))</f>
        <v/>
      </c>
      <c r="H104" s="5" t="str">
        <f aca="false">IF($A104="","",_xlfn.MINIFS(Recipes!$I$5:$I$104,Recipes!$A$5:$A$104,$A104,Recipes!$B$5:$B$104,"B"))</f>
        <v/>
      </c>
      <c r="I104" s="5" t="str">
        <f aca="false">IF($A104="","",$F104+$H104)</f>
        <v/>
      </c>
      <c r="J104" s="5" t="str">
        <f aca="false">IF($A104="","",IFERROR(INDEX(Recipes!$C$5:$C$104,MATCH($A104&amp;"|"&amp;$H104,Recipes!$M$5:$M$104,0)),""))</f>
        <v/>
      </c>
      <c r="K104" s="5" t="str">
        <f aca="false">IF($A104="","",COUNTIFS(Recipes!$C$5:$C$104,$A104,Recipes!$B$5:$B$104,"C"))</f>
        <v/>
      </c>
      <c r="L104"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28"/>
    <col collapsed="false" customWidth="true" hidden="false" outlineLevel="0" max="4" min="4" style="0" width="10"/>
    <col collapsed="false" customWidth="true" hidden="false" outlineLevel="0" max="5" min="5" style="0" width="9"/>
    <col collapsed="false" customWidth="true" hidden="false" outlineLevel="0" max="6" min="6" style="0" width="13"/>
    <col collapsed="false" customWidth="true" hidden="false" outlineLevel="0" max="7" min="7" style="0" width="16"/>
    <col collapsed="false" customWidth="true" hidden="false" outlineLevel="0" max="8" min="8" style="0" width="20"/>
    <col collapsed="false" customWidth="true" hidden="false" outlineLevel="0" max="10" min="9" style="0" width="24"/>
  </cols>
  <sheetData>
    <row r="1" customFormat="false" ht="16.15" hidden="false" customHeight="false" outlineLevel="0" collapsed="false">
      <c r="A1" s="1" t="s">
        <v>44</v>
      </c>
    </row>
    <row r="2" customFormat="false" ht="25.5" hidden="false" customHeight="true" outlineLevel="0" collapsed="false">
      <c r="A2" s="2" t="s">
        <v>45</v>
      </c>
    </row>
    <row r="4" customFormat="false" ht="33.75" hidden="false" customHeight="true" outlineLevel="0" collapsed="false">
      <c r="A4" s="3" t="s">
        <v>2</v>
      </c>
      <c r="B4" s="3" t="s">
        <v>46</v>
      </c>
      <c r="C4" s="3" t="s">
        <v>47</v>
      </c>
      <c r="D4" s="3" t="s">
        <v>48</v>
      </c>
      <c r="E4" s="3" t="s">
        <v>49</v>
      </c>
      <c r="F4" s="3" t="s">
        <v>50</v>
      </c>
      <c r="G4" s="3" t="s">
        <v>51</v>
      </c>
      <c r="H4" s="3" t="s">
        <v>52</v>
      </c>
      <c r="I4" s="3" t="s">
        <v>53</v>
      </c>
      <c r="J4" s="3" t="s">
        <v>13</v>
      </c>
    </row>
    <row r="5" customFormat="false" ht="15" hidden="false" customHeight="false" outlineLevel="0" collapsed="false">
      <c r="A5" s="4" t="s">
        <v>54</v>
      </c>
      <c r="B5" s="4" t="s">
        <v>55</v>
      </c>
      <c r="C5" s="4" t="s">
        <v>56</v>
      </c>
      <c r="D5" s="7" t="n">
        <v>899</v>
      </c>
      <c r="E5" s="5" t="n">
        <f aca="false">IF($A5="","",SUMIFS(Movements!$D$5:$D$304,Movements!$C$5:$C$304,$A5,Movements!$B$5:$B$304,"Sell"))</f>
        <v>12</v>
      </c>
      <c r="F5" s="5" t="n">
        <f aca="false">IF($A5="","",_xlfn.MINIFS(Recipes!$J$5:$J$104,Recipes!$A$5:$A$104,$A5,Recipes!$B$5:$B$104,"C"))</f>
        <v>0</v>
      </c>
      <c r="G5" s="5" t="n">
        <f aca="false">IF($A5="","",_xlfn.MINIFS(Recipes!$K$5:$K$104,Recipes!$A$5:$A$104,$A5,Recipes!$B$5:$B$104,"C"))</f>
        <v>11</v>
      </c>
      <c r="H5" s="5" t="str">
        <f aca="false">IF($A5="","",IFERROR(INDEX(Recipes!$C$5:$C$104,MATCH($A5&amp;"|"&amp;$G5,Recipes!$L$5:$L$104,0)),""))</f>
        <v>WHT-BAL</v>
      </c>
      <c r="I5" s="5" t="str">
        <f aca="false">IF($A5="","",IF(_xlfn.MAXIFS(Recipes!$N$5:$N$104,Recipes!$A$5:$A$104,$A5,Recipes!$B$5:$B$104,"C")&gt;1,"Shares parts with other kits",""))</f>
        <v>Shares parts with other kits</v>
      </c>
      <c r="J5" s="4" t="s">
        <v>57</v>
      </c>
    </row>
    <row r="6" customFormat="false" ht="15" hidden="false" customHeight="false" outlineLevel="0" collapsed="false">
      <c r="A6" s="4" t="s">
        <v>58</v>
      </c>
      <c r="B6" s="4" t="s">
        <v>59</v>
      </c>
      <c r="C6" s="4" t="s">
        <v>60</v>
      </c>
      <c r="D6" s="7" t="n">
        <v>1299</v>
      </c>
      <c r="E6" s="5" t="n">
        <f aca="false">IF($A6="","",SUMIFS(Movements!$D$5:$D$304,Movements!$C$5:$C$304,$A6,Movements!$B$5:$B$304,"Sell"))</f>
        <v>5</v>
      </c>
      <c r="F6" s="5" t="n">
        <f aca="false">IF($A6="","",_xlfn.MINIFS(Recipes!$J$5:$J$104,Recipes!$A$5:$A$104,$A6,Recipes!$B$5:$B$104,"C"))</f>
        <v>0</v>
      </c>
      <c r="G6" s="5" t="n">
        <f aca="false">IF($A6="","",_xlfn.MINIFS(Recipes!$K$5:$K$104,Recipes!$A$5:$A$104,$A6,Recipes!$B$5:$B$104,"C"))</f>
        <v>9</v>
      </c>
      <c r="H6" s="5" t="str">
        <f aca="false">IF($A6="","",IFERROR(INDEX(Recipes!$C$5:$C$104,MATCH($A6&amp;"|"&amp;$G6,Recipes!$L$5:$L$104,0)),""))</f>
        <v>B-BOX-ONE</v>
      </c>
      <c r="I6" s="5" t="str">
        <f aca="false">IF($A6="","",IF(_xlfn.MAXIFS(Recipes!$N$5:$N$104,Recipes!$A$5:$A$104,$A6,Recipes!$B$5:$B$104,"C")&gt;1,"Shares parts with other kits",""))</f>
        <v>Shares parts with other kits</v>
      </c>
      <c r="J6" s="4"/>
    </row>
    <row r="7" customFormat="false" ht="15" hidden="false" customHeight="false" outlineLevel="0" collapsed="false">
      <c r="A7" s="4"/>
      <c r="B7" s="4"/>
      <c r="C7" s="4"/>
      <c r="D7" s="7"/>
      <c r="E7" s="5" t="str">
        <f aca="false">IF($A7="","",SUMIFS(Movements!$D$5:$D$304,Movements!$C$5:$C$304,$A7,Movements!$B$5:$B$304,"Sell"))</f>
        <v/>
      </c>
      <c r="F7" s="5" t="str">
        <f aca="false">IF($A7="","",_xlfn.MINIFS(Recipes!$J$5:$J$104,Recipes!$A$5:$A$104,$A7,Recipes!$B$5:$B$104,"C"))</f>
        <v/>
      </c>
      <c r="G7" s="5" t="str">
        <f aca="false">IF($A7="","",_xlfn.MINIFS(Recipes!$K$5:$K$104,Recipes!$A$5:$A$104,$A7,Recipes!$B$5:$B$104,"C"))</f>
        <v/>
      </c>
      <c r="H7" s="5" t="str">
        <f aca="false">IF($A7="","",IFERROR(INDEX(Recipes!$C$5:$C$104,MATCH($A7&amp;"|"&amp;$G7,Recipes!$L$5:$L$104,0)),""))</f>
        <v/>
      </c>
      <c r="I7" s="5" t="str">
        <f aca="false">IF($A7="","",IF(_xlfn.MAXIFS(Recipes!$N$5:$N$104,Recipes!$A$5:$A$104,$A7,Recipes!$B$5:$B$104,"C")&gt;1,"Shares parts with other kits",""))</f>
        <v/>
      </c>
      <c r="J7" s="4"/>
    </row>
    <row r="8" customFormat="false" ht="15" hidden="false" customHeight="false" outlineLevel="0" collapsed="false">
      <c r="A8" s="4"/>
      <c r="B8" s="4"/>
      <c r="C8" s="4"/>
      <c r="D8" s="7"/>
      <c r="E8" s="5" t="str">
        <f aca="false">IF($A8="","",SUMIFS(Movements!$D$5:$D$304,Movements!$C$5:$C$304,$A8,Movements!$B$5:$B$304,"Sell"))</f>
        <v/>
      </c>
      <c r="F8" s="5" t="str">
        <f aca="false">IF($A8="","",_xlfn.MINIFS(Recipes!$J$5:$J$104,Recipes!$A$5:$A$104,$A8,Recipes!$B$5:$B$104,"C"))</f>
        <v/>
      </c>
      <c r="G8" s="5" t="str">
        <f aca="false">IF($A8="","",_xlfn.MINIFS(Recipes!$K$5:$K$104,Recipes!$A$5:$A$104,$A8,Recipes!$B$5:$B$104,"C"))</f>
        <v/>
      </c>
      <c r="H8" s="5" t="str">
        <f aca="false">IF($A8="","",IFERROR(INDEX(Recipes!$C$5:$C$104,MATCH($A8&amp;"|"&amp;$G8,Recipes!$L$5:$L$104,0)),""))</f>
        <v/>
      </c>
      <c r="I8" s="5" t="str">
        <f aca="false">IF($A8="","",IF(_xlfn.MAXIFS(Recipes!$N$5:$N$104,Recipes!$A$5:$A$104,$A8,Recipes!$B$5:$B$104,"C")&gt;1,"Shares parts with other kits",""))</f>
        <v/>
      </c>
      <c r="J8" s="4"/>
    </row>
    <row r="9" customFormat="false" ht="15" hidden="false" customHeight="false" outlineLevel="0" collapsed="false">
      <c r="A9" s="4"/>
      <c r="B9" s="4"/>
      <c r="C9" s="4"/>
      <c r="D9" s="7"/>
      <c r="E9" s="5" t="str">
        <f aca="false">IF($A9="","",SUMIFS(Movements!$D$5:$D$304,Movements!$C$5:$C$304,$A9,Movements!$B$5:$B$304,"Sell"))</f>
        <v/>
      </c>
      <c r="F9" s="5" t="str">
        <f aca="false">IF($A9="","",_xlfn.MINIFS(Recipes!$J$5:$J$104,Recipes!$A$5:$A$104,$A9,Recipes!$B$5:$B$104,"C"))</f>
        <v/>
      </c>
      <c r="G9" s="5" t="str">
        <f aca="false">IF($A9="","",_xlfn.MINIFS(Recipes!$K$5:$K$104,Recipes!$A$5:$A$104,$A9,Recipes!$B$5:$B$104,"C"))</f>
        <v/>
      </c>
      <c r="H9" s="5" t="str">
        <f aca="false">IF($A9="","",IFERROR(INDEX(Recipes!$C$5:$C$104,MATCH($A9&amp;"|"&amp;$G9,Recipes!$L$5:$L$104,0)),""))</f>
        <v/>
      </c>
      <c r="I9" s="5" t="str">
        <f aca="false">IF($A9="","",IF(_xlfn.MAXIFS(Recipes!$N$5:$N$104,Recipes!$A$5:$A$104,$A9,Recipes!$B$5:$B$104,"C")&gt;1,"Shares parts with other kits",""))</f>
        <v/>
      </c>
      <c r="J9" s="4"/>
    </row>
    <row r="10" customFormat="false" ht="15" hidden="false" customHeight="false" outlineLevel="0" collapsed="false">
      <c r="A10" s="4"/>
      <c r="B10" s="4"/>
      <c r="C10" s="4"/>
      <c r="D10" s="7"/>
      <c r="E10" s="5" t="str">
        <f aca="false">IF($A10="","",SUMIFS(Movements!$D$5:$D$304,Movements!$C$5:$C$304,$A10,Movements!$B$5:$B$304,"Sell"))</f>
        <v/>
      </c>
      <c r="F10" s="5" t="str">
        <f aca="false">IF($A10="","",_xlfn.MINIFS(Recipes!$J$5:$J$104,Recipes!$A$5:$A$104,$A10,Recipes!$B$5:$B$104,"C"))</f>
        <v/>
      </c>
      <c r="G10" s="5" t="str">
        <f aca="false">IF($A10="","",_xlfn.MINIFS(Recipes!$K$5:$K$104,Recipes!$A$5:$A$104,$A10,Recipes!$B$5:$B$104,"C"))</f>
        <v/>
      </c>
      <c r="H10" s="5" t="str">
        <f aca="false">IF($A10="","",IFERROR(INDEX(Recipes!$C$5:$C$104,MATCH($A10&amp;"|"&amp;$G10,Recipes!$L$5:$L$104,0)),""))</f>
        <v/>
      </c>
      <c r="I10" s="5" t="str">
        <f aca="false">IF($A10="","",IF(_xlfn.MAXIFS(Recipes!$N$5:$N$104,Recipes!$A$5:$A$104,$A10,Recipes!$B$5:$B$104,"C")&gt;1,"Shares parts with other kits",""))</f>
        <v/>
      </c>
      <c r="J10" s="4"/>
    </row>
    <row r="11" customFormat="false" ht="15" hidden="false" customHeight="false" outlineLevel="0" collapsed="false">
      <c r="A11" s="4"/>
      <c r="B11" s="4"/>
      <c r="C11" s="4"/>
      <c r="D11" s="7"/>
      <c r="E11" s="5" t="str">
        <f aca="false">IF($A11="","",SUMIFS(Movements!$D$5:$D$304,Movements!$C$5:$C$304,$A11,Movements!$B$5:$B$304,"Sell"))</f>
        <v/>
      </c>
      <c r="F11" s="5" t="str">
        <f aca="false">IF($A11="","",_xlfn.MINIFS(Recipes!$J$5:$J$104,Recipes!$A$5:$A$104,$A11,Recipes!$B$5:$B$104,"C"))</f>
        <v/>
      </c>
      <c r="G11" s="5" t="str">
        <f aca="false">IF($A11="","",_xlfn.MINIFS(Recipes!$K$5:$K$104,Recipes!$A$5:$A$104,$A11,Recipes!$B$5:$B$104,"C"))</f>
        <v/>
      </c>
      <c r="H11" s="5" t="str">
        <f aca="false">IF($A11="","",IFERROR(INDEX(Recipes!$C$5:$C$104,MATCH($A11&amp;"|"&amp;$G11,Recipes!$L$5:$L$104,0)),""))</f>
        <v/>
      </c>
      <c r="I11" s="5" t="str">
        <f aca="false">IF($A11="","",IF(_xlfn.MAXIFS(Recipes!$N$5:$N$104,Recipes!$A$5:$A$104,$A11,Recipes!$B$5:$B$104,"C")&gt;1,"Shares parts with other kits",""))</f>
        <v/>
      </c>
      <c r="J11" s="4"/>
    </row>
    <row r="12" customFormat="false" ht="15" hidden="false" customHeight="false" outlineLevel="0" collapsed="false">
      <c r="A12" s="4"/>
      <c r="B12" s="4"/>
      <c r="C12" s="4"/>
      <c r="D12" s="7"/>
      <c r="E12" s="5" t="str">
        <f aca="false">IF($A12="","",SUMIFS(Movements!$D$5:$D$304,Movements!$C$5:$C$304,$A12,Movements!$B$5:$B$304,"Sell"))</f>
        <v/>
      </c>
      <c r="F12" s="5" t="str">
        <f aca="false">IF($A12="","",_xlfn.MINIFS(Recipes!$J$5:$J$104,Recipes!$A$5:$A$104,$A12,Recipes!$B$5:$B$104,"C"))</f>
        <v/>
      </c>
      <c r="G12" s="5" t="str">
        <f aca="false">IF($A12="","",_xlfn.MINIFS(Recipes!$K$5:$K$104,Recipes!$A$5:$A$104,$A12,Recipes!$B$5:$B$104,"C"))</f>
        <v/>
      </c>
      <c r="H12" s="5" t="str">
        <f aca="false">IF($A12="","",IFERROR(INDEX(Recipes!$C$5:$C$104,MATCH($A12&amp;"|"&amp;$G12,Recipes!$L$5:$L$104,0)),""))</f>
        <v/>
      </c>
      <c r="I12" s="5" t="str">
        <f aca="false">IF($A12="","",IF(_xlfn.MAXIFS(Recipes!$N$5:$N$104,Recipes!$A$5:$A$104,$A12,Recipes!$B$5:$B$104,"C")&gt;1,"Shares parts with other kits",""))</f>
        <v/>
      </c>
      <c r="J12" s="4"/>
    </row>
    <row r="13" customFormat="false" ht="15" hidden="false" customHeight="false" outlineLevel="0" collapsed="false">
      <c r="A13" s="4"/>
      <c r="B13" s="4"/>
      <c r="C13" s="4"/>
      <c r="D13" s="7"/>
      <c r="E13" s="5" t="str">
        <f aca="false">IF($A13="","",SUMIFS(Movements!$D$5:$D$304,Movements!$C$5:$C$304,$A13,Movements!$B$5:$B$304,"Sell"))</f>
        <v/>
      </c>
      <c r="F13" s="5" t="str">
        <f aca="false">IF($A13="","",_xlfn.MINIFS(Recipes!$J$5:$J$104,Recipes!$A$5:$A$104,$A13,Recipes!$B$5:$B$104,"C"))</f>
        <v/>
      </c>
      <c r="G13" s="5" t="str">
        <f aca="false">IF($A13="","",_xlfn.MINIFS(Recipes!$K$5:$K$104,Recipes!$A$5:$A$104,$A13,Recipes!$B$5:$B$104,"C"))</f>
        <v/>
      </c>
      <c r="H13" s="5" t="str">
        <f aca="false">IF($A13="","",IFERROR(INDEX(Recipes!$C$5:$C$104,MATCH($A13&amp;"|"&amp;$G13,Recipes!$L$5:$L$104,0)),""))</f>
        <v/>
      </c>
      <c r="I13" s="5" t="str">
        <f aca="false">IF($A13="","",IF(_xlfn.MAXIFS(Recipes!$N$5:$N$104,Recipes!$A$5:$A$104,$A13,Recipes!$B$5:$B$104,"C")&gt;1,"Shares parts with other kits",""))</f>
        <v/>
      </c>
      <c r="J13" s="4"/>
    </row>
    <row r="14" customFormat="false" ht="15" hidden="false" customHeight="false" outlineLevel="0" collapsed="false">
      <c r="A14" s="4"/>
      <c r="B14" s="4"/>
      <c r="C14" s="4"/>
      <c r="D14" s="7"/>
      <c r="E14" s="5" t="str">
        <f aca="false">IF($A14="","",SUMIFS(Movements!$D$5:$D$304,Movements!$C$5:$C$304,$A14,Movements!$B$5:$B$304,"Sell"))</f>
        <v/>
      </c>
      <c r="F14" s="5" t="str">
        <f aca="false">IF($A14="","",_xlfn.MINIFS(Recipes!$J$5:$J$104,Recipes!$A$5:$A$104,$A14,Recipes!$B$5:$B$104,"C"))</f>
        <v/>
      </c>
      <c r="G14" s="5" t="str">
        <f aca="false">IF($A14="","",_xlfn.MINIFS(Recipes!$K$5:$K$104,Recipes!$A$5:$A$104,$A14,Recipes!$B$5:$B$104,"C"))</f>
        <v/>
      </c>
      <c r="H14" s="5" t="str">
        <f aca="false">IF($A14="","",IFERROR(INDEX(Recipes!$C$5:$C$104,MATCH($A14&amp;"|"&amp;$G14,Recipes!$L$5:$L$104,0)),""))</f>
        <v/>
      </c>
      <c r="I14" s="5" t="str">
        <f aca="false">IF($A14="","",IF(_xlfn.MAXIFS(Recipes!$N$5:$N$104,Recipes!$A$5:$A$104,$A14,Recipes!$B$5:$B$104,"C")&gt;1,"Shares parts with other kits",""))</f>
        <v/>
      </c>
      <c r="J14" s="4"/>
    </row>
    <row r="15" customFormat="false" ht="15" hidden="false" customHeight="false" outlineLevel="0" collapsed="false">
      <c r="A15" s="4"/>
      <c r="B15" s="4"/>
      <c r="C15" s="4"/>
      <c r="D15" s="7"/>
      <c r="E15" s="5" t="str">
        <f aca="false">IF($A15="","",SUMIFS(Movements!$D$5:$D$304,Movements!$C$5:$C$304,$A15,Movements!$B$5:$B$304,"Sell"))</f>
        <v/>
      </c>
      <c r="F15" s="5" t="str">
        <f aca="false">IF($A15="","",_xlfn.MINIFS(Recipes!$J$5:$J$104,Recipes!$A$5:$A$104,$A15,Recipes!$B$5:$B$104,"C"))</f>
        <v/>
      </c>
      <c r="G15" s="5" t="str">
        <f aca="false">IF($A15="","",_xlfn.MINIFS(Recipes!$K$5:$K$104,Recipes!$A$5:$A$104,$A15,Recipes!$B$5:$B$104,"C"))</f>
        <v/>
      </c>
      <c r="H15" s="5" t="str">
        <f aca="false">IF($A15="","",IFERROR(INDEX(Recipes!$C$5:$C$104,MATCH($A15&amp;"|"&amp;$G15,Recipes!$L$5:$L$104,0)),""))</f>
        <v/>
      </c>
      <c r="I15" s="5" t="str">
        <f aca="false">IF($A15="","",IF(_xlfn.MAXIFS(Recipes!$N$5:$N$104,Recipes!$A$5:$A$104,$A15,Recipes!$B$5:$B$104,"C")&gt;1,"Shares parts with other kits",""))</f>
        <v/>
      </c>
      <c r="J15" s="4"/>
    </row>
    <row r="16" customFormat="false" ht="15" hidden="false" customHeight="false" outlineLevel="0" collapsed="false">
      <c r="A16" s="4"/>
      <c r="B16" s="4"/>
      <c r="C16" s="4"/>
      <c r="D16" s="7"/>
      <c r="E16" s="5" t="str">
        <f aca="false">IF($A16="","",SUMIFS(Movements!$D$5:$D$304,Movements!$C$5:$C$304,$A16,Movements!$B$5:$B$304,"Sell"))</f>
        <v/>
      </c>
      <c r="F16" s="5" t="str">
        <f aca="false">IF($A16="","",_xlfn.MINIFS(Recipes!$J$5:$J$104,Recipes!$A$5:$A$104,$A16,Recipes!$B$5:$B$104,"C"))</f>
        <v/>
      </c>
      <c r="G16" s="5" t="str">
        <f aca="false">IF($A16="","",_xlfn.MINIFS(Recipes!$K$5:$K$104,Recipes!$A$5:$A$104,$A16,Recipes!$B$5:$B$104,"C"))</f>
        <v/>
      </c>
      <c r="H16" s="5" t="str">
        <f aca="false">IF($A16="","",IFERROR(INDEX(Recipes!$C$5:$C$104,MATCH($A16&amp;"|"&amp;$G16,Recipes!$L$5:$L$104,0)),""))</f>
        <v/>
      </c>
      <c r="I16" s="5" t="str">
        <f aca="false">IF($A16="","",IF(_xlfn.MAXIFS(Recipes!$N$5:$N$104,Recipes!$A$5:$A$104,$A16,Recipes!$B$5:$B$104,"C")&gt;1,"Shares parts with other kits",""))</f>
        <v/>
      </c>
      <c r="J16" s="4"/>
    </row>
    <row r="17" customFormat="false" ht="15" hidden="false" customHeight="false" outlineLevel="0" collapsed="false">
      <c r="A17" s="4"/>
      <c r="B17" s="4"/>
      <c r="C17" s="4"/>
      <c r="D17" s="7"/>
      <c r="E17" s="5" t="str">
        <f aca="false">IF($A17="","",SUMIFS(Movements!$D$5:$D$304,Movements!$C$5:$C$304,$A17,Movements!$B$5:$B$304,"Sell"))</f>
        <v/>
      </c>
      <c r="F17" s="5" t="str">
        <f aca="false">IF($A17="","",_xlfn.MINIFS(Recipes!$J$5:$J$104,Recipes!$A$5:$A$104,$A17,Recipes!$B$5:$B$104,"C"))</f>
        <v/>
      </c>
      <c r="G17" s="5" t="str">
        <f aca="false">IF($A17="","",_xlfn.MINIFS(Recipes!$K$5:$K$104,Recipes!$A$5:$A$104,$A17,Recipes!$B$5:$B$104,"C"))</f>
        <v/>
      </c>
      <c r="H17" s="5" t="str">
        <f aca="false">IF($A17="","",IFERROR(INDEX(Recipes!$C$5:$C$104,MATCH($A17&amp;"|"&amp;$G17,Recipes!$L$5:$L$104,0)),""))</f>
        <v/>
      </c>
      <c r="I17" s="5" t="str">
        <f aca="false">IF($A17="","",IF(_xlfn.MAXIFS(Recipes!$N$5:$N$104,Recipes!$A$5:$A$104,$A17,Recipes!$B$5:$B$104,"C")&gt;1,"Shares parts with other kits",""))</f>
        <v/>
      </c>
      <c r="J17" s="4"/>
    </row>
    <row r="18" customFormat="false" ht="15" hidden="false" customHeight="false" outlineLevel="0" collapsed="false">
      <c r="A18" s="4"/>
      <c r="B18" s="4"/>
      <c r="C18" s="4"/>
      <c r="D18" s="7"/>
      <c r="E18" s="5" t="str">
        <f aca="false">IF($A18="","",SUMIFS(Movements!$D$5:$D$304,Movements!$C$5:$C$304,$A18,Movements!$B$5:$B$304,"Sell"))</f>
        <v/>
      </c>
      <c r="F18" s="5" t="str">
        <f aca="false">IF($A18="","",_xlfn.MINIFS(Recipes!$J$5:$J$104,Recipes!$A$5:$A$104,$A18,Recipes!$B$5:$B$104,"C"))</f>
        <v/>
      </c>
      <c r="G18" s="5" t="str">
        <f aca="false">IF($A18="","",_xlfn.MINIFS(Recipes!$K$5:$K$104,Recipes!$A$5:$A$104,$A18,Recipes!$B$5:$B$104,"C"))</f>
        <v/>
      </c>
      <c r="H18" s="5" t="str">
        <f aca="false">IF($A18="","",IFERROR(INDEX(Recipes!$C$5:$C$104,MATCH($A18&amp;"|"&amp;$G18,Recipes!$L$5:$L$104,0)),""))</f>
        <v/>
      </c>
      <c r="I18" s="5" t="str">
        <f aca="false">IF($A18="","",IF(_xlfn.MAXIFS(Recipes!$N$5:$N$104,Recipes!$A$5:$A$104,$A18,Recipes!$B$5:$B$104,"C")&gt;1,"Shares parts with other kits",""))</f>
        <v/>
      </c>
      <c r="J18" s="4"/>
    </row>
    <row r="19" customFormat="false" ht="15" hidden="false" customHeight="false" outlineLevel="0" collapsed="false">
      <c r="A19" s="4"/>
      <c r="B19" s="4"/>
      <c r="C19" s="4"/>
      <c r="D19" s="7"/>
      <c r="E19" s="5" t="str">
        <f aca="false">IF($A19="","",SUMIFS(Movements!$D$5:$D$304,Movements!$C$5:$C$304,$A19,Movements!$B$5:$B$304,"Sell"))</f>
        <v/>
      </c>
      <c r="F19" s="5" t="str">
        <f aca="false">IF($A19="","",_xlfn.MINIFS(Recipes!$J$5:$J$104,Recipes!$A$5:$A$104,$A19,Recipes!$B$5:$B$104,"C"))</f>
        <v/>
      </c>
      <c r="G19" s="5" t="str">
        <f aca="false">IF($A19="","",_xlfn.MINIFS(Recipes!$K$5:$K$104,Recipes!$A$5:$A$104,$A19,Recipes!$B$5:$B$104,"C"))</f>
        <v/>
      </c>
      <c r="H19" s="5" t="str">
        <f aca="false">IF($A19="","",IFERROR(INDEX(Recipes!$C$5:$C$104,MATCH($A19&amp;"|"&amp;$G19,Recipes!$L$5:$L$104,0)),""))</f>
        <v/>
      </c>
      <c r="I19" s="5" t="str">
        <f aca="false">IF($A19="","",IF(_xlfn.MAXIFS(Recipes!$N$5:$N$104,Recipes!$A$5:$A$104,$A19,Recipes!$B$5:$B$104,"C")&gt;1,"Shares parts with other kits",""))</f>
        <v/>
      </c>
      <c r="J19" s="4"/>
    </row>
    <row r="20" customFormat="false" ht="15" hidden="false" customHeight="false" outlineLevel="0" collapsed="false">
      <c r="A20" s="4"/>
      <c r="B20" s="4"/>
      <c r="C20" s="4"/>
      <c r="D20" s="7"/>
      <c r="E20" s="5" t="str">
        <f aca="false">IF($A20="","",SUMIFS(Movements!$D$5:$D$304,Movements!$C$5:$C$304,$A20,Movements!$B$5:$B$304,"Sell"))</f>
        <v/>
      </c>
      <c r="F20" s="5" t="str">
        <f aca="false">IF($A20="","",_xlfn.MINIFS(Recipes!$J$5:$J$104,Recipes!$A$5:$A$104,$A20,Recipes!$B$5:$B$104,"C"))</f>
        <v/>
      </c>
      <c r="G20" s="5" t="str">
        <f aca="false">IF($A20="","",_xlfn.MINIFS(Recipes!$K$5:$K$104,Recipes!$A$5:$A$104,$A20,Recipes!$B$5:$B$104,"C"))</f>
        <v/>
      </c>
      <c r="H20" s="5" t="str">
        <f aca="false">IF($A20="","",IFERROR(INDEX(Recipes!$C$5:$C$104,MATCH($A20&amp;"|"&amp;$G20,Recipes!$L$5:$L$104,0)),""))</f>
        <v/>
      </c>
      <c r="I20" s="5" t="str">
        <f aca="false">IF($A20="","",IF(_xlfn.MAXIFS(Recipes!$N$5:$N$104,Recipes!$A$5:$A$104,$A20,Recipes!$B$5:$B$104,"C")&gt;1,"Shares parts with other kits",""))</f>
        <v/>
      </c>
      <c r="J20" s="4"/>
    </row>
    <row r="21" customFormat="false" ht="15" hidden="false" customHeight="false" outlineLevel="0" collapsed="false">
      <c r="A21" s="4"/>
      <c r="B21" s="4"/>
      <c r="C21" s="4"/>
      <c r="D21" s="7"/>
      <c r="E21" s="5" t="str">
        <f aca="false">IF($A21="","",SUMIFS(Movements!$D$5:$D$304,Movements!$C$5:$C$304,$A21,Movements!$B$5:$B$304,"Sell"))</f>
        <v/>
      </c>
      <c r="F21" s="5" t="str">
        <f aca="false">IF($A21="","",_xlfn.MINIFS(Recipes!$J$5:$J$104,Recipes!$A$5:$A$104,$A21,Recipes!$B$5:$B$104,"C"))</f>
        <v/>
      </c>
      <c r="G21" s="5" t="str">
        <f aca="false">IF($A21="","",_xlfn.MINIFS(Recipes!$K$5:$K$104,Recipes!$A$5:$A$104,$A21,Recipes!$B$5:$B$104,"C"))</f>
        <v/>
      </c>
      <c r="H21" s="5" t="str">
        <f aca="false">IF($A21="","",IFERROR(INDEX(Recipes!$C$5:$C$104,MATCH($A21&amp;"|"&amp;$G21,Recipes!$L$5:$L$104,0)),""))</f>
        <v/>
      </c>
      <c r="I21" s="5" t="str">
        <f aca="false">IF($A21="","",IF(_xlfn.MAXIFS(Recipes!$N$5:$N$104,Recipes!$A$5:$A$104,$A21,Recipes!$B$5:$B$104,"C")&gt;1,"Shares parts with other kits",""))</f>
        <v/>
      </c>
      <c r="J21" s="4"/>
    </row>
    <row r="22" customFormat="false" ht="15" hidden="false" customHeight="false" outlineLevel="0" collapsed="false">
      <c r="A22" s="4"/>
      <c r="B22" s="4"/>
      <c r="C22" s="4"/>
      <c r="D22" s="7"/>
      <c r="E22" s="5" t="str">
        <f aca="false">IF($A22="","",SUMIFS(Movements!$D$5:$D$304,Movements!$C$5:$C$304,$A22,Movements!$B$5:$B$304,"Sell"))</f>
        <v/>
      </c>
      <c r="F22" s="5" t="str">
        <f aca="false">IF($A22="","",_xlfn.MINIFS(Recipes!$J$5:$J$104,Recipes!$A$5:$A$104,$A22,Recipes!$B$5:$B$104,"C"))</f>
        <v/>
      </c>
      <c r="G22" s="5" t="str">
        <f aca="false">IF($A22="","",_xlfn.MINIFS(Recipes!$K$5:$K$104,Recipes!$A$5:$A$104,$A22,Recipes!$B$5:$B$104,"C"))</f>
        <v/>
      </c>
      <c r="H22" s="5" t="str">
        <f aca="false">IF($A22="","",IFERROR(INDEX(Recipes!$C$5:$C$104,MATCH($A22&amp;"|"&amp;$G22,Recipes!$L$5:$L$104,0)),""))</f>
        <v/>
      </c>
      <c r="I22" s="5" t="str">
        <f aca="false">IF($A22="","",IF(_xlfn.MAXIFS(Recipes!$N$5:$N$104,Recipes!$A$5:$A$104,$A22,Recipes!$B$5:$B$104,"C")&gt;1,"Shares parts with other kits",""))</f>
        <v/>
      </c>
      <c r="J22" s="4"/>
    </row>
    <row r="23" customFormat="false" ht="15" hidden="false" customHeight="false" outlineLevel="0" collapsed="false">
      <c r="A23" s="4"/>
      <c r="B23" s="4"/>
      <c r="C23" s="4"/>
      <c r="D23" s="7"/>
      <c r="E23" s="5" t="str">
        <f aca="false">IF($A23="","",SUMIFS(Movements!$D$5:$D$304,Movements!$C$5:$C$304,$A23,Movements!$B$5:$B$304,"Sell"))</f>
        <v/>
      </c>
      <c r="F23" s="5" t="str">
        <f aca="false">IF($A23="","",_xlfn.MINIFS(Recipes!$J$5:$J$104,Recipes!$A$5:$A$104,$A23,Recipes!$B$5:$B$104,"C"))</f>
        <v/>
      </c>
      <c r="G23" s="5" t="str">
        <f aca="false">IF($A23="","",_xlfn.MINIFS(Recipes!$K$5:$K$104,Recipes!$A$5:$A$104,$A23,Recipes!$B$5:$B$104,"C"))</f>
        <v/>
      </c>
      <c r="H23" s="5" t="str">
        <f aca="false">IF($A23="","",IFERROR(INDEX(Recipes!$C$5:$C$104,MATCH($A23&amp;"|"&amp;$G23,Recipes!$L$5:$L$104,0)),""))</f>
        <v/>
      </c>
      <c r="I23" s="5" t="str">
        <f aca="false">IF($A23="","",IF(_xlfn.MAXIFS(Recipes!$N$5:$N$104,Recipes!$A$5:$A$104,$A23,Recipes!$B$5:$B$104,"C")&gt;1,"Shares parts with other kits",""))</f>
        <v/>
      </c>
      <c r="J23" s="4"/>
    </row>
    <row r="24" customFormat="false" ht="15" hidden="false" customHeight="false" outlineLevel="0" collapsed="false">
      <c r="A24" s="4"/>
      <c r="B24" s="4"/>
      <c r="C24" s="4"/>
      <c r="D24" s="7"/>
      <c r="E24" s="5" t="str">
        <f aca="false">IF($A24="","",SUMIFS(Movements!$D$5:$D$304,Movements!$C$5:$C$304,$A24,Movements!$B$5:$B$304,"Sell"))</f>
        <v/>
      </c>
      <c r="F24" s="5" t="str">
        <f aca="false">IF($A24="","",_xlfn.MINIFS(Recipes!$J$5:$J$104,Recipes!$A$5:$A$104,$A24,Recipes!$B$5:$B$104,"C"))</f>
        <v/>
      </c>
      <c r="G24" s="5" t="str">
        <f aca="false">IF($A24="","",_xlfn.MINIFS(Recipes!$K$5:$K$104,Recipes!$A$5:$A$104,$A24,Recipes!$B$5:$B$104,"C"))</f>
        <v/>
      </c>
      <c r="H24" s="5" t="str">
        <f aca="false">IF($A24="","",IFERROR(INDEX(Recipes!$C$5:$C$104,MATCH($A24&amp;"|"&amp;$G24,Recipes!$L$5:$L$104,0)),""))</f>
        <v/>
      </c>
      <c r="I24" s="5" t="str">
        <f aca="false">IF($A24="","",IF(_xlfn.MAXIFS(Recipes!$N$5:$N$104,Recipes!$A$5:$A$104,$A24,Recipes!$B$5:$B$104,"C")&gt;1,"Shares parts with other kits",""))</f>
        <v/>
      </c>
      <c r="J24" s="4"/>
    </row>
    <row r="25" customFormat="false" ht="15" hidden="false" customHeight="false" outlineLevel="0" collapsed="false">
      <c r="A25" s="4"/>
      <c r="B25" s="4"/>
      <c r="C25" s="4"/>
      <c r="D25" s="7"/>
      <c r="E25" s="5" t="str">
        <f aca="false">IF($A25="","",SUMIFS(Movements!$D$5:$D$304,Movements!$C$5:$C$304,$A25,Movements!$B$5:$B$304,"Sell"))</f>
        <v/>
      </c>
      <c r="F25" s="5" t="str">
        <f aca="false">IF($A25="","",_xlfn.MINIFS(Recipes!$J$5:$J$104,Recipes!$A$5:$A$104,$A25,Recipes!$B$5:$B$104,"C"))</f>
        <v/>
      </c>
      <c r="G25" s="5" t="str">
        <f aca="false">IF($A25="","",_xlfn.MINIFS(Recipes!$K$5:$K$104,Recipes!$A$5:$A$104,$A25,Recipes!$B$5:$B$104,"C"))</f>
        <v/>
      </c>
      <c r="H25" s="5" t="str">
        <f aca="false">IF($A25="","",IFERROR(INDEX(Recipes!$C$5:$C$104,MATCH($A25&amp;"|"&amp;$G25,Recipes!$L$5:$L$104,0)),""))</f>
        <v/>
      </c>
      <c r="I25" s="5" t="str">
        <f aca="false">IF($A25="","",IF(_xlfn.MAXIFS(Recipes!$N$5:$N$104,Recipes!$A$5:$A$104,$A25,Recipes!$B$5:$B$104,"C")&gt;1,"Shares parts with other kits",""))</f>
        <v/>
      </c>
      <c r="J25" s="4"/>
    </row>
    <row r="26" customFormat="false" ht="15" hidden="false" customHeight="false" outlineLevel="0" collapsed="false">
      <c r="A26" s="4"/>
      <c r="B26" s="4"/>
      <c r="C26" s="4"/>
      <c r="D26" s="7"/>
      <c r="E26" s="5" t="str">
        <f aca="false">IF($A26="","",SUMIFS(Movements!$D$5:$D$304,Movements!$C$5:$C$304,$A26,Movements!$B$5:$B$304,"Sell"))</f>
        <v/>
      </c>
      <c r="F26" s="5" t="str">
        <f aca="false">IF($A26="","",_xlfn.MINIFS(Recipes!$J$5:$J$104,Recipes!$A$5:$A$104,$A26,Recipes!$B$5:$B$104,"C"))</f>
        <v/>
      </c>
      <c r="G26" s="5" t="str">
        <f aca="false">IF($A26="","",_xlfn.MINIFS(Recipes!$K$5:$K$104,Recipes!$A$5:$A$104,$A26,Recipes!$B$5:$B$104,"C"))</f>
        <v/>
      </c>
      <c r="H26" s="5" t="str">
        <f aca="false">IF($A26="","",IFERROR(INDEX(Recipes!$C$5:$C$104,MATCH($A26&amp;"|"&amp;$G26,Recipes!$L$5:$L$104,0)),""))</f>
        <v/>
      </c>
      <c r="I26" s="5" t="str">
        <f aca="false">IF($A26="","",IF(_xlfn.MAXIFS(Recipes!$N$5:$N$104,Recipes!$A$5:$A$104,$A26,Recipes!$B$5:$B$104,"C")&gt;1,"Shares parts with other kits",""))</f>
        <v/>
      </c>
      <c r="J26" s="4"/>
    </row>
    <row r="27" customFormat="false" ht="15" hidden="false" customHeight="false" outlineLevel="0" collapsed="false">
      <c r="A27" s="4"/>
      <c r="B27" s="4"/>
      <c r="C27" s="4"/>
      <c r="D27" s="7"/>
      <c r="E27" s="5" t="str">
        <f aca="false">IF($A27="","",SUMIFS(Movements!$D$5:$D$304,Movements!$C$5:$C$304,$A27,Movements!$B$5:$B$304,"Sell"))</f>
        <v/>
      </c>
      <c r="F27" s="5" t="str">
        <f aca="false">IF($A27="","",_xlfn.MINIFS(Recipes!$J$5:$J$104,Recipes!$A$5:$A$104,$A27,Recipes!$B$5:$B$104,"C"))</f>
        <v/>
      </c>
      <c r="G27" s="5" t="str">
        <f aca="false">IF($A27="","",_xlfn.MINIFS(Recipes!$K$5:$K$104,Recipes!$A$5:$A$104,$A27,Recipes!$B$5:$B$104,"C"))</f>
        <v/>
      </c>
      <c r="H27" s="5" t="str">
        <f aca="false">IF($A27="","",IFERROR(INDEX(Recipes!$C$5:$C$104,MATCH($A27&amp;"|"&amp;$G27,Recipes!$L$5:$L$104,0)),""))</f>
        <v/>
      </c>
      <c r="I27" s="5" t="str">
        <f aca="false">IF($A27="","",IF(_xlfn.MAXIFS(Recipes!$N$5:$N$104,Recipes!$A$5:$A$104,$A27,Recipes!$B$5:$B$104,"C")&gt;1,"Shares parts with other kits",""))</f>
        <v/>
      </c>
      <c r="J27" s="4"/>
    </row>
    <row r="28" customFormat="false" ht="15" hidden="false" customHeight="false" outlineLevel="0" collapsed="false">
      <c r="A28" s="4"/>
      <c r="B28" s="4"/>
      <c r="C28" s="4"/>
      <c r="D28" s="7"/>
      <c r="E28" s="5" t="str">
        <f aca="false">IF($A28="","",SUMIFS(Movements!$D$5:$D$304,Movements!$C$5:$C$304,$A28,Movements!$B$5:$B$304,"Sell"))</f>
        <v/>
      </c>
      <c r="F28" s="5" t="str">
        <f aca="false">IF($A28="","",_xlfn.MINIFS(Recipes!$J$5:$J$104,Recipes!$A$5:$A$104,$A28,Recipes!$B$5:$B$104,"C"))</f>
        <v/>
      </c>
      <c r="G28" s="5" t="str">
        <f aca="false">IF($A28="","",_xlfn.MINIFS(Recipes!$K$5:$K$104,Recipes!$A$5:$A$104,$A28,Recipes!$B$5:$B$104,"C"))</f>
        <v/>
      </c>
      <c r="H28" s="5" t="str">
        <f aca="false">IF($A28="","",IFERROR(INDEX(Recipes!$C$5:$C$104,MATCH($A28&amp;"|"&amp;$G28,Recipes!$L$5:$L$104,0)),""))</f>
        <v/>
      </c>
      <c r="I28" s="5" t="str">
        <f aca="false">IF($A28="","",IF(_xlfn.MAXIFS(Recipes!$N$5:$N$104,Recipes!$A$5:$A$104,$A28,Recipes!$B$5:$B$104,"C")&gt;1,"Shares parts with other kits",""))</f>
        <v/>
      </c>
      <c r="J28" s="4"/>
    </row>
    <row r="29" customFormat="false" ht="15" hidden="false" customHeight="false" outlineLevel="0" collapsed="false">
      <c r="A29" s="4"/>
      <c r="B29" s="4"/>
      <c r="C29" s="4"/>
      <c r="D29" s="7"/>
      <c r="E29" s="5" t="str">
        <f aca="false">IF($A29="","",SUMIFS(Movements!$D$5:$D$304,Movements!$C$5:$C$304,$A29,Movements!$B$5:$B$304,"Sell"))</f>
        <v/>
      </c>
      <c r="F29" s="5" t="str">
        <f aca="false">IF($A29="","",_xlfn.MINIFS(Recipes!$J$5:$J$104,Recipes!$A$5:$A$104,$A29,Recipes!$B$5:$B$104,"C"))</f>
        <v/>
      </c>
      <c r="G29" s="5" t="str">
        <f aca="false">IF($A29="","",_xlfn.MINIFS(Recipes!$K$5:$K$104,Recipes!$A$5:$A$104,$A29,Recipes!$B$5:$B$104,"C"))</f>
        <v/>
      </c>
      <c r="H29" s="5" t="str">
        <f aca="false">IF($A29="","",IFERROR(INDEX(Recipes!$C$5:$C$104,MATCH($A29&amp;"|"&amp;$G29,Recipes!$L$5:$L$104,0)),""))</f>
        <v/>
      </c>
      <c r="I29" s="5" t="str">
        <f aca="false">IF($A29="","",IF(_xlfn.MAXIFS(Recipes!$N$5:$N$104,Recipes!$A$5:$A$104,$A29,Recipes!$B$5:$B$104,"C")&gt;1,"Shares parts with other kits",""))</f>
        <v/>
      </c>
      <c r="J29" s="4"/>
    </row>
    <row r="30" customFormat="false" ht="15" hidden="false" customHeight="false" outlineLevel="0" collapsed="false">
      <c r="A30" s="4"/>
      <c r="B30" s="4"/>
      <c r="C30" s="4"/>
      <c r="D30" s="7"/>
      <c r="E30" s="5" t="str">
        <f aca="false">IF($A30="","",SUMIFS(Movements!$D$5:$D$304,Movements!$C$5:$C$304,$A30,Movements!$B$5:$B$304,"Sell"))</f>
        <v/>
      </c>
      <c r="F30" s="5" t="str">
        <f aca="false">IF($A30="","",_xlfn.MINIFS(Recipes!$J$5:$J$104,Recipes!$A$5:$A$104,$A30,Recipes!$B$5:$B$104,"C"))</f>
        <v/>
      </c>
      <c r="G30" s="5" t="str">
        <f aca="false">IF($A30="","",_xlfn.MINIFS(Recipes!$K$5:$K$104,Recipes!$A$5:$A$104,$A30,Recipes!$B$5:$B$104,"C"))</f>
        <v/>
      </c>
      <c r="H30" s="5" t="str">
        <f aca="false">IF($A30="","",IFERROR(INDEX(Recipes!$C$5:$C$104,MATCH($A30&amp;"|"&amp;$G30,Recipes!$L$5:$L$104,0)),""))</f>
        <v/>
      </c>
      <c r="I30" s="5" t="str">
        <f aca="false">IF($A30="","",IF(_xlfn.MAXIFS(Recipes!$N$5:$N$104,Recipes!$A$5:$A$104,$A30,Recipes!$B$5:$B$104,"C")&gt;1,"Shares parts with other kits",""))</f>
        <v/>
      </c>
      <c r="J30" s="4"/>
    </row>
    <row r="31" customFormat="false" ht="15" hidden="false" customHeight="false" outlineLevel="0" collapsed="false">
      <c r="A31" s="4"/>
      <c r="B31" s="4"/>
      <c r="C31" s="4"/>
      <c r="D31" s="7"/>
      <c r="E31" s="5" t="str">
        <f aca="false">IF($A31="","",SUMIFS(Movements!$D$5:$D$304,Movements!$C$5:$C$304,$A31,Movements!$B$5:$B$304,"Sell"))</f>
        <v/>
      </c>
      <c r="F31" s="5" t="str">
        <f aca="false">IF($A31="","",_xlfn.MINIFS(Recipes!$J$5:$J$104,Recipes!$A$5:$A$104,$A31,Recipes!$B$5:$B$104,"C"))</f>
        <v/>
      </c>
      <c r="G31" s="5" t="str">
        <f aca="false">IF($A31="","",_xlfn.MINIFS(Recipes!$K$5:$K$104,Recipes!$A$5:$A$104,$A31,Recipes!$B$5:$B$104,"C"))</f>
        <v/>
      </c>
      <c r="H31" s="5" t="str">
        <f aca="false">IF($A31="","",IFERROR(INDEX(Recipes!$C$5:$C$104,MATCH($A31&amp;"|"&amp;$G31,Recipes!$L$5:$L$104,0)),""))</f>
        <v/>
      </c>
      <c r="I31" s="5" t="str">
        <f aca="false">IF($A31="","",IF(_xlfn.MAXIFS(Recipes!$N$5:$N$104,Recipes!$A$5:$A$104,$A31,Recipes!$B$5:$B$104,"C")&gt;1,"Shares parts with other kits",""))</f>
        <v/>
      </c>
      <c r="J31" s="4"/>
    </row>
    <row r="32" customFormat="false" ht="15" hidden="false" customHeight="false" outlineLevel="0" collapsed="false">
      <c r="A32" s="4"/>
      <c r="B32" s="4"/>
      <c r="C32" s="4"/>
      <c r="D32" s="7"/>
      <c r="E32" s="5" t="str">
        <f aca="false">IF($A32="","",SUMIFS(Movements!$D$5:$D$304,Movements!$C$5:$C$304,$A32,Movements!$B$5:$B$304,"Sell"))</f>
        <v/>
      </c>
      <c r="F32" s="5" t="str">
        <f aca="false">IF($A32="","",_xlfn.MINIFS(Recipes!$J$5:$J$104,Recipes!$A$5:$A$104,$A32,Recipes!$B$5:$B$104,"C"))</f>
        <v/>
      </c>
      <c r="G32" s="5" t="str">
        <f aca="false">IF($A32="","",_xlfn.MINIFS(Recipes!$K$5:$K$104,Recipes!$A$5:$A$104,$A32,Recipes!$B$5:$B$104,"C"))</f>
        <v/>
      </c>
      <c r="H32" s="5" t="str">
        <f aca="false">IF($A32="","",IFERROR(INDEX(Recipes!$C$5:$C$104,MATCH($A32&amp;"|"&amp;$G32,Recipes!$L$5:$L$104,0)),""))</f>
        <v/>
      </c>
      <c r="I32" s="5" t="str">
        <f aca="false">IF($A32="","",IF(_xlfn.MAXIFS(Recipes!$N$5:$N$104,Recipes!$A$5:$A$104,$A32,Recipes!$B$5:$B$104,"C")&gt;1,"Shares parts with other kits",""))</f>
        <v/>
      </c>
      <c r="J32" s="4"/>
    </row>
    <row r="33" customFormat="false" ht="15" hidden="false" customHeight="false" outlineLevel="0" collapsed="false">
      <c r="A33" s="4"/>
      <c r="B33" s="4"/>
      <c r="C33" s="4"/>
      <c r="D33" s="7"/>
      <c r="E33" s="5" t="str">
        <f aca="false">IF($A33="","",SUMIFS(Movements!$D$5:$D$304,Movements!$C$5:$C$304,$A33,Movements!$B$5:$B$304,"Sell"))</f>
        <v/>
      </c>
      <c r="F33" s="5" t="str">
        <f aca="false">IF($A33="","",_xlfn.MINIFS(Recipes!$J$5:$J$104,Recipes!$A$5:$A$104,$A33,Recipes!$B$5:$B$104,"C"))</f>
        <v/>
      </c>
      <c r="G33" s="5" t="str">
        <f aca="false">IF($A33="","",_xlfn.MINIFS(Recipes!$K$5:$K$104,Recipes!$A$5:$A$104,$A33,Recipes!$B$5:$B$104,"C"))</f>
        <v/>
      </c>
      <c r="H33" s="5" t="str">
        <f aca="false">IF($A33="","",IFERROR(INDEX(Recipes!$C$5:$C$104,MATCH($A33&amp;"|"&amp;$G33,Recipes!$L$5:$L$104,0)),""))</f>
        <v/>
      </c>
      <c r="I33" s="5" t="str">
        <f aca="false">IF($A33="","",IF(_xlfn.MAXIFS(Recipes!$N$5:$N$104,Recipes!$A$5:$A$104,$A33,Recipes!$B$5:$B$104,"C")&gt;1,"Shares parts with other kits",""))</f>
        <v/>
      </c>
      <c r="J33" s="4"/>
    </row>
    <row r="34" customFormat="false" ht="15" hidden="false" customHeight="false" outlineLevel="0" collapsed="false">
      <c r="A34" s="4"/>
      <c r="B34" s="4"/>
      <c r="C34" s="4"/>
      <c r="D34" s="7"/>
      <c r="E34" s="5" t="str">
        <f aca="false">IF($A34="","",SUMIFS(Movements!$D$5:$D$304,Movements!$C$5:$C$304,$A34,Movements!$B$5:$B$304,"Sell"))</f>
        <v/>
      </c>
      <c r="F34" s="5" t="str">
        <f aca="false">IF($A34="","",_xlfn.MINIFS(Recipes!$J$5:$J$104,Recipes!$A$5:$A$104,$A34,Recipes!$B$5:$B$104,"C"))</f>
        <v/>
      </c>
      <c r="G34" s="5" t="str">
        <f aca="false">IF($A34="","",_xlfn.MINIFS(Recipes!$K$5:$K$104,Recipes!$A$5:$A$104,$A34,Recipes!$B$5:$B$104,"C"))</f>
        <v/>
      </c>
      <c r="H34" s="5" t="str">
        <f aca="false">IF($A34="","",IFERROR(INDEX(Recipes!$C$5:$C$104,MATCH($A34&amp;"|"&amp;$G34,Recipes!$L$5:$L$104,0)),""))</f>
        <v/>
      </c>
      <c r="I34" s="5" t="str">
        <f aca="false">IF($A34="","",IF(_xlfn.MAXIFS(Recipes!$N$5:$N$104,Recipes!$A$5:$A$104,$A34,Recipes!$B$5:$B$104,"C")&gt;1,"Shares parts with other kits",""))</f>
        <v/>
      </c>
      <c r="J34" s="4"/>
    </row>
    <row r="35" customFormat="false" ht="15" hidden="false" customHeight="false" outlineLevel="0" collapsed="false">
      <c r="A35" s="4"/>
      <c r="B35" s="4"/>
      <c r="C35" s="4"/>
      <c r="D35" s="7"/>
      <c r="E35" s="5" t="str">
        <f aca="false">IF($A35="","",SUMIFS(Movements!$D$5:$D$304,Movements!$C$5:$C$304,$A35,Movements!$B$5:$B$304,"Sell"))</f>
        <v/>
      </c>
      <c r="F35" s="5" t="str">
        <f aca="false">IF($A35="","",_xlfn.MINIFS(Recipes!$J$5:$J$104,Recipes!$A$5:$A$104,$A35,Recipes!$B$5:$B$104,"C"))</f>
        <v/>
      </c>
      <c r="G35" s="5" t="str">
        <f aca="false">IF($A35="","",_xlfn.MINIFS(Recipes!$K$5:$K$104,Recipes!$A$5:$A$104,$A35,Recipes!$B$5:$B$104,"C"))</f>
        <v/>
      </c>
      <c r="H35" s="5" t="str">
        <f aca="false">IF($A35="","",IFERROR(INDEX(Recipes!$C$5:$C$104,MATCH($A35&amp;"|"&amp;$G35,Recipes!$L$5:$L$104,0)),""))</f>
        <v/>
      </c>
      <c r="I35" s="5" t="str">
        <f aca="false">IF($A35="","",IF(_xlfn.MAXIFS(Recipes!$N$5:$N$104,Recipes!$A$5:$A$104,$A35,Recipes!$B$5:$B$104,"C")&gt;1,"Shares parts with other kits",""))</f>
        <v/>
      </c>
      <c r="J35" s="4"/>
    </row>
    <row r="36" customFormat="false" ht="15" hidden="false" customHeight="false" outlineLevel="0" collapsed="false">
      <c r="A36" s="4"/>
      <c r="B36" s="4"/>
      <c r="C36" s="4"/>
      <c r="D36" s="7"/>
      <c r="E36" s="5" t="str">
        <f aca="false">IF($A36="","",SUMIFS(Movements!$D$5:$D$304,Movements!$C$5:$C$304,$A36,Movements!$B$5:$B$304,"Sell"))</f>
        <v/>
      </c>
      <c r="F36" s="5" t="str">
        <f aca="false">IF($A36="","",_xlfn.MINIFS(Recipes!$J$5:$J$104,Recipes!$A$5:$A$104,$A36,Recipes!$B$5:$B$104,"C"))</f>
        <v/>
      </c>
      <c r="G36" s="5" t="str">
        <f aca="false">IF($A36="","",_xlfn.MINIFS(Recipes!$K$5:$K$104,Recipes!$A$5:$A$104,$A36,Recipes!$B$5:$B$104,"C"))</f>
        <v/>
      </c>
      <c r="H36" s="5" t="str">
        <f aca="false">IF($A36="","",IFERROR(INDEX(Recipes!$C$5:$C$104,MATCH($A36&amp;"|"&amp;$G36,Recipes!$L$5:$L$104,0)),""))</f>
        <v/>
      </c>
      <c r="I36" s="5" t="str">
        <f aca="false">IF($A36="","",IF(_xlfn.MAXIFS(Recipes!$N$5:$N$104,Recipes!$A$5:$A$104,$A36,Recipes!$B$5:$B$104,"C")&gt;1,"Shares parts with other kits",""))</f>
        <v/>
      </c>
      <c r="J36" s="4"/>
    </row>
    <row r="37" customFormat="false" ht="15" hidden="false" customHeight="false" outlineLevel="0" collapsed="false">
      <c r="A37" s="4"/>
      <c r="B37" s="4"/>
      <c r="C37" s="4"/>
      <c r="D37" s="7"/>
      <c r="E37" s="5" t="str">
        <f aca="false">IF($A37="","",SUMIFS(Movements!$D$5:$D$304,Movements!$C$5:$C$304,$A37,Movements!$B$5:$B$304,"Sell"))</f>
        <v/>
      </c>
      <c r="F37" s="5" t="str">
        <f aca="false">IF($A37="","",_xlfn.MINIFS(Recipes!$J$5:$J$104,Recipes!$A$5:$A$104,$A37,Recipes!$B$5:$B$104,"C"))</f>
        <v/>
      </c>
      <c r="G37" s="5" t="str">
        <f aca="false">IF($A37="","",_xlfn.MINIFS(Recipes!$K$5:$K$104,Recipes!$A$5:$A$104,$A37,Recipes!$B$5:$B$104,"C"))</f>
        <v/>
      </c>
      <c r="H37" s="5" t="str">
        <f aca="false">IF($A37="","",IFERROR(INDEX(Recipes!$C$5:$C$104,MATCH($A37&amp;"|"&amp;$G37,Recipes!$L$5:$L$104,0)),""))</f>
        <v/>
      </c>
      <c r="I37" s="5" t="str">
        <f aca="false">IF($A37="","",IF(_xlfn.MAXIFS(Recipes!$N$5:$N$104,Recipes!$A$5:$A$104,$A37,Recipes!$B$5:$B$104,"C")&gt;1,"Shares parts with other kits",""))</f>
        <v/>
      </c>
      <c r="J37" s="4"/>
    </row>
    <row r="38" customFormat="false" ht="15" hidden="false" customHeight="false" outlineLevel="0" collapsed="false">
      <c r="A38" s="4"/>
      <c r="B38" s="4"/>
      <c r="C38" s="4"/>
      <c r="D38" s="7"/>
      <c r="E38" s="5" t="str">
        <f aca="false">IF($A38="","",SUMIFS(Movements!$D$5:$D$304,Movements!$C$5:$C$304,$A38,Movements!$B$5:$B$304,"Sell"))</f>
        <v/>
      </c>
      <c r="F38" s="5" t="str">
        <f aca="false">IF($A38="","",_xlfn.MINIFS(Recipes!$J$5:$J$104,Recipes!$A$5:$A$104,$A38,Recipes!$B$5:$B$104,"C"))</f>
        <v/>
      </c>
      <c r="G38" s="5" t="str">
        <f aca="false">IF($A38="","",_xlfn.MINIFS(Recipes!$K$5:$K$104,Recipes!$A$5:$A$104,$A38,Recipes!$B$5:$B$104,"C"))</f>
        <v/>
      </c>
      <c r="H38" s="5" t="str">
        <f aca="false">IF($A38="","",IFERROR(INDEX(Recipes!$C$5:$C$104,MATCH($A38&amp;"|"&amp;$G38,Recipes!$L$5:$L$104,0)),""))</f>
        <v/>
      </c>
      <c r="I38" s="5" t="str">
        <f aca="false">IF($A38="","",IF(_xlfn.MAXIFS(Recipes!$N$5:$N$104,Recipes!$A$5:$A$104,$A38,Recipes!$B$5:$B$104,"C")&gt;1,"Shares parts with other kits",""))</f>
        <v/>
      </c>
      <c r="J38" s="4"/>
    </row>
    <row r="39" customFormat="false" ht="15" hidden="false" customHeight="false" outlineLevel="0" collapsed="false">
      <c r="A39" s="4"/>
      <c r="B39" s="4"/>
      <c r="C39" s="4"/>
      <c r="D39" s="7"/>
      <c r="E39" s="5" t="str">
        <f aca="false">IF($A39="","",SUMIFS(Movements!$D$5:$D$304,Movements!$C$5:$C$304,$A39,Movements!$B$5:$B$304,"Sell"))</f>
        <v/>
      </c>
      <c r="F39" s="5" t="str">
        <f aca="false">IF($A39="","",_xlfn.MINIFS(Recipes!$J$5:$J$104,Recipes!$A$5:$A$104,$A39,Recipes!$B$5:$B$104,"C"))</f>
        <v/>
      </c>
      <c r="G39" s="5" t="str">
        <f aca="false">IF($A39="","",_xlfn.MINIFS(Recipes!$K$5:$K$104,Recipes!$A$5:$A$104,$A39,Recipes!$B$5:$B$104,"C"))</f>
        <v/>
      </c>
      <c r="H39" s="5" t="str">
        <f aca="false">IF($A39="","",IFERROR(INDEX(Recipes!$C$5:$C$104,MATCH($A39&amp;"|"&amp;$G39,Recipes!$L$5:$L$104,0)),""))</f>
        <v/>
      </c>
      <c r="I39" s="5" t="str">
        <f aca="false">IF($A39="","",IF(_xlfn.MAXIFS(Recipes!$N$5:$N$104,Recipes!$A$5:$A$104,$A39,Recipes!$B$5:$B$104,"C")&gt;1,"Shares parts with other kits",""))</f>
        <v/>
      </c>
      <c r="J39" s="4"/>
    </row>
    <row r="40" customFormat="false" ht="15" hidden="false" customHeight="false" outlineLevel="0" collapsed="false">
      <c r="A40" s="4"/>
      <c r="B40" s="4"/>
      <c r="C40" s="4"/>
      <c r="D40" s="7"/>
      <c r="E40" s="5" t="str">
        <f aca="false">IF($A40="","",SUMIFS(Movements!$D$5:$D$304,Movements!$C$5:$C$304,$A40,Movements!$B$5:$B$304,"Sell"))</f>
        <v/>
      </c>
      <c r="F40" s="5" t="str">
        <f aca="false">IF($A40="","",_xlfn.MINIFS(Recipes!$J$5:$J$104,Recipes!$A$5:$A$104,$A40,Recipes!$B$5:$B$104,"C"))</f>
        <v/>
      </c>
      <c r="G40" s="5" t="str">
        <f aca="false">IF($A40="","",_xlfn.MINIFS(Recipes!$K$5:$K$104,Recipes!$A$5:$A$104,$A40,Recipes!$B$5:$B$104,"C"))</f>
        <v/>
      </c>
      <c r="H40" s="5" t="str">
        <f aca="false">IF($A40="","",IFERROR(INDEX(Recipes!$C$5:$C$104,MATCH($A40&amp;"|"&amp;$G40,Recipes!$L$5:$L$104,0)),""))</f>
        <v/>
      </c>
      <c r="I40" s="5" t="str">
        <f aca="false">IF($A40="","",IF(_xlfn.MAXIFS(Recipes!$N$5:$N$104,Recipes!$A$5:$A$104,$A40,Recipes!$B$5:$B$104,"C")&gt;1,"Shares parts with other kits",""))</f>
        <v/>
      </c>
      <c r="J40" s="4"/>
    </row>
    <row r="41" customFormat="false" ht="15" hidden="false" customHeight="false" outlineLevel="0" collapsed="false">
      <c r="A41" s="4"/>
      <c r="B41" s="4"/>
      <c r="C41" s="4"/>
      <c r="D41" s="7"/>
      <c r="E41" s="5" t="str">
        <f aca="false">IF($A41="","",SUMIFS(Movements!$D$5:$D$304,Movements!$C$5:$C$304,$A41,Movements!$B$5:$B$304,"Sell"))</f>
        <v/>
      </c>
      <c r="F41" s="5" t="str">
        <f aca="false">IF($A41="","",_xlfn.MINIFS(Recipes!$J$5:$J$104,Recipes!$A$5:$A$104,$A41,Recipes!$B$5:$B$104,"C"))</f>
        <v/>
      </c>
      <c r="G41" s="5" t="str">
        <f aca="false">IF($A41="","",_xlfn.MINIFS(Recipes!$K$5:$K$104,Recipes!$A$5:$A$104,$A41,Recipes!$B$5:$B$104,"C"))</f>
        <v/>
      </c>
      <c r="H41" s="5" t="str">
        <f aca="false">IF($A41="","",IFERROR(INDEX(Recipes!$C$5:$C$104,MATCH($A41&amp;"|"&amp;$G41,Recipes!$L$5:$L$104,0)),""))</f>
        <v/>
      </c>
      <c r="I41" s="5" t="str">
        <f aca="false">IF($A41="","",IF(_xlfn.MAXIFS(Recipes!$N$5:$N$104,Recipes!$A$5:$A$104,$A41,Recipes!$B$5:$B$104,"C")&gt;1,"Shares parts with other kits",""))</f>
        <v/>
      </c>
      <c r="J41" s="4"/>
    </row>
    <row r="42" customFormat="false" ht="15" hidden="false" customHeight="false" outlineLevel="0" collapsed="false">
      <c r="A42" s="4"/>
      <c r="B42" s="4"/>
      <c r="C42" s="4"/>
      <c r="D42" s="7"/>
      <c r="E42" s="5" t="str">
        <f aca="false">IF($A42="","",SUMIFS(Movements!$D$5:$D$304,Movements!$C$5:$C$304,$A42,Movements!$B$5:$B$304,"Sell"))</f>
        <v/>
      </c>
      <c r="F42" s="5" t="str">
        <f aca="false">IF($A42="","",_xlfn.MINIFS(Recipes!$J$5:$J$104,Recipes!$A$5:$A$104,$A42,Recipes!$B$5:$B$104,"C"))</f>
        <v/>
      </c>
      <c r="G42" s="5" t="str">
        <f aca="false">IF($A42="","",_xlfn.MINIFS(Recipes!$K$5:$K$104,Recipes!$A$5:$A$104,$A42,Recipes!$B$5:$B$104,"C"))</f>
        <v/>
      </c>
      <c r="H42" s="5" t="str">
        <f aca="false">IF($A42="","",IFERROR(INDEX(Recipes!$C$5:$C$104,MATCH($A42&amp;"|"&amp;$G42,Recipes!$L$5:$L$104,0)),""))</f>
        <v/>
      </c>
      <c r="I42" s="5" t="str">
        <f aca="false">IF($A42="","",IF(_xlfn.MAXIFS(Recipes!$N$5:$N$104,Recipes!$A$5:$A$104,$A42,Recipes!$B$5:$B$104,"C")&gt;1,"Shares parts with other kits",""))</f>
        <v/>
      </c>
      <c r="J42" s="4"/>
    </row>
    <row r="43" customFormat="false" ht="15" hidden="false" customHeight="false" outlineLevel="0" collapsed="false">
      <c r="A43" s="4"/>
      <c r="B43" s="4"/>
      <c r="C43" s="4"/>
      <c r="D43" s="7"/>
      <c r="E43" s="5" t="str">
        <f aca="false">IF($A43="","",SUMIFS(Movements!$D$5:$D$304,Movements!$C$5:$C$304,$A43,Movements!$B$5:$B$304,"Sell"))</f>
        <v/>
      </c>
      <c r="F43" s="5" t="str">
        <f aca="false">IF($A43="","",_xlfn.MINIFS(Recipes!$J$5:$J$104,Recipes!$A$5:$A$104,$A43,Recipes!$B$5:$B$104,"C"))</f>
        <v/>
      </c>
      <c r="G43" s="5" t="str">
        <f aca="false">IF($A43="","",_xlfn.MINIFS(Recipes!$K$5:$K$104,Recipes!$A$5:$A$104,$A43,Recipes!$B$5:$B$104,"C"))</f>
        <v/>
      </c>
      <c r="H43" s="5" t="str">
        <f aca="false">IF($A43="","",IFERROR(INDEX(Recipes!$C$5:$C$104,MATCH($A43&amp;"|"&amp;$G43,Recipes!$L$5:$L$104,0)),""))</f>
        <v/>
      </c>
      <c r="I43" s="5" t="str">
        <f aca="false">IF($A43="","",IF(_xlfn.MAXIFS(Recipes!$N$5:$N$104,Recipes!$A$5:$A$104,$A43,Recipes!$B$5:$B$104,"C")&gt;1,"Shares parts with other kits",""))</f>
        <v/>
      </c>
      <c r="J43" s="4"/>
    </row>
    <row r="44" customFormat="false" ht="15" hidden="false" customHeight="false" outlineLevel="0" collapsed="false">
      <c r="A44" s="4"/>
      <c r="B44" s="4"/>
      <c r="C44" s="4"/>
      <c r="D44" s="7"/>
      <c r="E44" s="5" t="str">
        <f aca="false">IF($A44="","",SUMIFS(Movements!$D$5:$D$304,Movements!$C$5:$C$304,$A44,Movements!$B$5:$B$304,"Sell"))</f>
        <v/>
      </c>
      <c r="F44" s="5" t="str">
        <f aca="false">IF($A44="","",_xlfn.MINIFS(Recipes!$J$5:$J$104,Recipes!$A$5:$A$104,$A44,Recipes!$B$5:$B$104,"C"))</f>
        <v/>
      </c>
      <c r="G44" s="5" t="str">
        <f aca="false">IF($A44="","",_xlfn.MINIFS(Recipes!$K$5:$K$104,Recipes!$A$5:$A$104,$A44,Recipes!$B$5:$B$104,"C"))</f>
        <v/>
      </c>
      <c r="H44" s="5" t="str">
        <f aca="false">IF($A44="","",IFERROR(INDEX(Recipes!$C$5:$C$104,MATCH($A44&amp;"|"&amp;$G44,Recipes!$L$5:$L$104,0)),""))</f>
        <v/>
      </c>
      <c r="I44" s="5" t="str">
        <f aca="false">IF($A44="","",IF(_xlfn.MAXIFS(Recipes!$N$5:$N$104,Recipes!$A$5:$A$104,$A44,Recipes!$B$5:$B$104,"C")&gt;1,"Shares parts with other kits",""))</f>
        <v/>
      </c>
      <c r="J44" s="4"/>
    </row>
    <row r="45" customFormat="false" ht="15" hidden="false" customHeight="false" outlineLevel="0" collapsed="false">
      <c r="A45" s="4"/>
      <c r="B45" s="4"/>
      <c r="C45" s="4"/>
      <c r="D45" s="7"/>
      <c r="E45" s="5" t="str">
        <f aca="false">IF($A45="","",SUMIFS(Movements!$D$5:$D$304,Movements!$C$5:$C$304,$A45,Movements!$B$5:$B$304,"Sell"))</f>
        <v/>
      </c>
      <c r="F45" s="5" t="str">
        <f aca="false">IF($A45="","",_xlfn.MINIFS(Recipes!$J$5:$J$104,Recipes!$A$5:$A$104,$A45,Recipes!$B$5:$B$104,"C"))</f>
        <v/>
      </c>
      <c r="G45" s="5" t="str">
        <f aca="false">IF($A45="","",_xlfn.MINIFS(Recipes!$K$5:$K$104,Recipes!$A$5:$A$104,$A45,Recipes!$B$5:$B$104,"C"))</f>
        <v/>
      </c>
      <c r="H45" s="5" t="str">
        <f aca="false">IF($A45="","",IFERROR(INDEX(Recipes!$C$5:$C$104,MATCH($A45&amp;"|"&amp;$G45,Recipes!$L$5:$L$104,0)),""))</f>
        <v/>
      </c>
      <c r="I45" s="5" t="str">
        <f aca="false">IF($A45="","",IF(_xlfn.MAXIFS(Recipes!$N$5:$N$104,Recipes!$A$5:$A$104,$A45,Recipes!$B$5:$B$104,"C")&gt;1,"Shares parts with other kits",""))</f>
        <v/>
      </c>
      <c r="J45" s="4"/>
    </row>
    <row r="46" customFormat="false" ht="15" hidden="false" customHeight="false" outlineLevel="0" collapsed="false">
      <c r="A46" s="4"/>
      <c r="B46" s="4"/>
      <c r="C46" s="4"/>
      <c r="D46" s="7"/>
      <c r="E46" s="5" t="str">
        <f aca="false">IF($A46="","",SUMIFS(Movements!$D$5:$D$304,Movements!$C$5:$C$304,$A46,Movements!$B$5:$B$304,"Sell"))</f>
        <v/>
      </c>
      <c r="F46" s="5" t="str">
        <f aca="false">IF($A46="","",_xlfn.MINIFS(Recipes!$J$5:$J$104,Recipes!$A$5:$A$104,$A46,Recipes!$B$5:$B$104,"C"))</f>
        <v/>
      </c>
      <c r="G46" s="5" t="str">
        <f aca="false">IF($A46="","",_xlfn.MINIFS(Recipes!$K$5:$K$104,Recipes!$A$5:$A$104,$A46,Recipes!$B$5:$B$104,"C"))</f>
        <v/>
      </c>
      <c r="H46" s="5" t="str">
        <f aca="false">IF($A46="","",IFERROR(INDEX(Recipes!$C$5:$C$104,MATCH($A46&amp;"|"&amp;$G46,Recipes!$L$5:$L$104,0)),""))</f>
        <v/>
      </c>
      <c r="I46" s="5" t="str">
        <f aca="false">IF($A46="","",IF(_xlfn.MAXIFS(Recipes!$N$5:$N$104,Recipes!$A$5:$A$104,$A46,Recipes!$B$5:$B$104,"C")&gt;1,"Shares parts with other kits",""))</f>
        <v/>
      </c>
      <c r="J46" s="4"/>
    </row>
    <row r="47" customFormat="false" ht="15" hidden="false" customHeight="false" outlineLevel="0" collapsed="false">
      <c r="A47" s="4"/>
      <c r="B47" s="4"/>
      <c r="C47" s="4"/>
      <c r="D47" s="7"/>
      <c r="E47" s="5" t="str">
        <f aca="false">IF($A47="","",SUMIFS(Movements!$D$5:$D$304,Movements!$C$5:$C$304,$A47,Movements!$B$5:$B$304,"Sell"))</f>
        <v/>
      </c>
      <c r="F47" s="5" t="str">
        <f aca="false">IF($A47="","",_xlfn.MINIFS(Recipes!$J$5:$J$104,Recipes!$A$5:$A$104,$A47,Recipes!$B$5:$B$104,"C"))</f>
        <v/>
      </c>
      <c r="G47" s="5" t="str">
        <f aca="false">IF($A47="","",_xlfn.MINIFS(Recipes!$K$5:$K$104,Recipes!$A$5:$A$104,$A47,Recipes!$B$5:$B$104,"C"))</f>
        <v/>
      </c>
      <c r="H47" s="5" t="str">
        <f aca="false">IF($A47="","",IFERROR(INDEX(Recipes!$C$5:$C$104,MATCH($A47&amp;"|"&amp;$G47,Recipes!$L$5:$L$104,0)),""))</f>
        <v/>
      </c>
      <c r="I47" s="5" t="str">
        <f aca="false">IF($A47="","",IF(_xlfn.MAXIFS(Recipes!$N$5:$N$104,Recipes!$A$5:$A$104,$A47,Recipes!$B$5:$B$104,"C")&gt;1,"Shares parts with other kits",""))</f>
        <v/>
      </c>
      <c r="J47" s="4"/>
    </row>
    <row r="48" customFormat="false" ht="15" hidden="false" customHeight="false" outlineLevel="0" collapsed="false">
      <c r="A48" s="4"/>
      <c r="B48" s="4"/>
      <c r="C48" s="4"/>
      <c r="D48" s="7"/>
      <c r="E48" s="5" t="str">
        <f aca="false">IF($A48="","",SUMIFS(Movements!$D$5:$D$304,Movements!$C$5:$C$304,$A48,Movements!$B$5:$B$304,"Sell"))</f>
        <v/>
      </c>
      <c r="F48" s="5" t="str">
        <f aca="false">IF($A48="","",_xlfn.MINIFS(Recipes!$J$5:$J$104,Recipes!$A$5:$A$104,$A48,Recipes!$B$5:$B$104,"C"))</f>
        <v/>
      </c>
      <c r="G48" s="5" t="str">
        <f aca="false">IF($A48="","",_xlfn.MINIFS(Recipes!$K$5:$K$104,Recipes!$A$5:$A$104,$A48,Recipes!$B$5:$B$104,"C"))</f>
        <v/>
      </c>
      <c r="H48" s="5" t="str">
        <f aca="false">IF($A48="","",IFERROR(INDEX(Recipes!$C$5:$C$104,MATCH($A48&amp;"|"&amp;$G48,Recipes!$L$5:$L$104,0)),""))</f>
        <v/>
      </c>
      <c r="I48" s="5" t="str">
        <f aca="false">IF($A48="","",IF(_xlfn.MAXIFS(Recipes!$N$5:$N$104,Recipes!$A$5:$A$104,$A48,Recipes!$B$5:$B$104,"C")&gt;1,"Shares parts with other kits",""))</f>
        <v/>
      </c>
      <c r="J48" s="4"/>
    </row>
    <row r="49" customFormat="false" ht="15" hidden="false" customHeight="false" outlineLevel="0" collapsed="false">
      <c r="A49" s="4"/>
      <c r="B49" s="4"/>
      <c r="C49" s="4"/>
      <c r="D49" s="7"/>
      <c r="E49" s="5" t="str">
        <f aca="false">IF($A49="","",SUMIFS(Movements!$D$5:$D$304,Movements!$C$5:$C$304,$A49,Movements!$B$5:$B$304,"Sell"))</f>
        <v/>
      </c>
      <c r="F49" s="5" t="str">
        <f aca="false">IF($A49="","",_xlfn.MINIFS(Recipes!$J$5:$J$104,Recipes!$A$5:$A$104,$A49,Recipes!$B$5:$B$104,"C"))</f>
        <v/>
      </c>
      <c r="G49" s="5" t="str">
        <f aca="false">IF($A49="","",_xlfn.MINIFS(Recipes!$K$5:$K$104,Recipes!$A$5:$A$104,$A49,Recipes!$B$5:$B$104,"C"))</f>
        <v/>
      </c>
      <c r="H49" s="5" t="str">
        <f aca="false">IF($A49="","",IFERROR(INDEX(Recipes!$C$5:$C$104,MATCH($A49&amp;"|"&amp;$G49,Recipes!$L$5:$L$104,0)),""))</f>
        <v/>
      </c>
      <c r="I49" s="5" t="str">
        <f aca="false">IF($A49="","",IF(_xlfn.MAXIFS(Recipes!$N$5:$N$104,Recipes!$A$5:$A$104,$A49,Recipes!$B$5:$B$104,"C")&gt;1,"Shares parts with other kits",""))</f>
        <v/>
      </c>
      <c r="J49" s="4"/>
    </row>
    <row r="50" customFormat="false" ht="15" hidden="false" customHeight="false" outlineLevel="0" collapsed="false">
      <c r="A50" s="4"/>
      <c r="B50" s="4"/>
      <c r="C50" s="4"/>
      <c r="D50" s="7"/>
      <c r="E50" s="5" t="str">
        <f aca="false">IF($A50="","",SUMIFS(Movements!$D$5:$D$304,Movements!$C$5:$C$304,$A50,Movements!$B$5:$B$304,"Sell"))</f>
        <v/>
      </c>
      <c r="F50" s="5" t="str">
        <f aca="false">IF($A50="","",_xlfn.MINIFS(Recipes!$J$5:$J$104,Recipes!$A$5:$A$104,$A50,Recipes!$B$5:$B$104,"C"))</f>
        <v/>
      </c>
      <c r="G50" s="5" t="str">
        <f aca="false">IF($A50="","",_xlfn.MINIFS(Recipes!$K$5:$K$104,Recipes!$A$5:$A$104,$A50,Recipes!$B$5:$B$104,"C"))</f>
        <v/>
      </c>
      <c r="H50" s="5" t="str">
        <f aca="false">IF($A50="","",IFERROR(INDEX(Recipes!$C$5:$C$104,MATCH($A50&amp;"|"&amp;$G50,Recipes!$L$5:$L$104,0)),""))</f>
        <v/>
      </c>
      <c r="I50" s="5" t="str">
        <f aca="false">IF($A50="","",IF(_xlfn.MAXIFS(Recipes!$N$5:$N$104,Recipes!$A$5:$A$104,$A50,Recipes!$B$5:$B$104,"C")&gt;1,"Shares parts with other kits",""))</f>
        <v/>
      </c>
      <c r="J50" s="4"/>
    </row>
    <row r="51" customFormat="false" ht="15" hidden="false" customHeight="false" outlineLevel="0" collapsed="false">
      <c r="A51" s="4"/>
      <c r="B51" s="4"/>
      <c r="C51" s="4"/>
      <c r="D51" s="7"/>
      <c r="E51" s="5" t="str">
        <f aca="false">IF($A51="","",SUMIFS(Movements!$D$5:$D$304,Movements!$C$5:$C$304,$A51,Movements!$B$5:$B$304,"Sell"))</f>
        <v/>
      </c>
      <c r="F51" s="5" t="str">
        <f aca="false">IF($A51="","",_xlfn.MINIFS(Recipes!$J$5:$J$104,Recipes!$A$5:$A$104,$A51,Recipes!$B$5:$B$104,"C"))</f>
        <v/>
      </c>
      <c r="G51" s="5" t="str">
        <f aca="false">IF($A51="","",_xlfn.MINIFS(Recipes!$K$5:$K$104,Recipes!$A$5:$A$104,$A51,Recipes!$B$5:$B$104,"C"))</f>
        <v/>
      </c>
      <c r="H51" s="5" t="str">
        <f aca="false">IF($A51="","",IFERROR(INDEX(Recipes!$C$5:$C$104,MATCH($A51&amp;"|"&amp;$G51,Recipes!$L$5:$L$104,0)),""))</f>
        <v/>
      </c>
      <c r="I51" s="5" t="str">
        <f aca="false">IF($A51="","",IF(_xlfn.MAXIFS(Recipes!$N$5:$N$104,Recipes!$A$5:$A$104,$A51,Recipes!$B$5:$B$104,"C")&gt;1,"Shares parts with other kits",""))</f>
        <v/>
      </c>
      <c r="J51" s="4"/>
    </row>
    <row r="52" customFormat="false" ht="15" hidden="false" customHeight="false" outlineLevel="0" collapsed="false">
      <c r="A52" s="4"/>
      <c r="B52" s="4"/>
      <c r="C52" s="4"/>
      <c r="D52" s="7"/>
      <c r="E52" s="5" t="str">
        <f aca="false">IF($A52="","",SUMIFS(Movements!$D$5:$D$304,Movements!$C$5:$C$304,$A52,Movements!$B$5:$B$304,"Sell"))</f>
        <v/>
      </c>
      <c r="F52" s="5" t="str">
        <f aca="false">IF($A52="","",_xlfn.MINIFS(Recipes!$J$5:$J$104,Recipes!$A$5:$A$104,$A52,Recipes!$B$5:$B$104,"C"))</f>
        <v/>
      </c>
      <c r="G52" s="5" t="str">
        <f aca="false">IF($A52="","",_xlfn.MINIFS(Recipes!$K$5:$K$104,Recipes!$A$5:$A$104,$A52,Recipes!$B$5:$B$104,"C"))</f>
        <v/>
      </c>
      <c r="H52" s="5" t="str">
        <f aca="false">IF($A52="","",IFERROR(INDEX(Recipes!$C$5:$C$104,MATCH($A52&amp;"|"&amp;$G52,Recipes!$L$5:$L$104,0)),""))</f>
        <v/>
      </c>
      <c r="I52" s="5" t="str">
        <f aca="false">IF($A52="","",IF(_xlfn.MAXIFS(Recipes!$N$5:$N$104,Recipes!$A$5:$A$104,$A52,Recipes!$B$5:$B$104,"C")&gt;1,"Shares parts with other kits",""))</f>
        <v/>
      </c>
      <c r="J52" s="4"/>
    </row>
    <row r="53" customFormat="false" ht="15" hidden="false" customHeight="false" outlineLevel="0" collapsed="false">
      <c r="A53" s="4"/>
      <c r="B53" s="4"/>
      <c r="C53" s="4"/>
      <c r="D53" s="7"/>
      <c r="E53" s="5" t="str">
        <f aca="false">IF($A53="","",SUMIFS(Movements!$D$5:$D$304,Movements!$C$5:$C$304,$A53,Movements!$B$5:$B$304,"Sell"))</f>
        <v/>
      </c>
      <c r="F53" s="5" t="str">
        <f aca="false">IF($A53="","",_xlfn.MINIFS(Recipes!$J$5:$J$104,Recipes!$A$5:$A$104,$A53,Recipes!$B$5:$B$104,"C"))</f>
        <v/>
      </c>
      <c r="G53" s="5" t="str">
        <f aca="false">IF($A53="","",_xlfn.MINIFS(Recipes!$K$5:$K$104,Recipes!$A$5:$A$104,$A53,Recipes!$B$5:$B$104,"C"))</f>
        <v/>
      </c>
      <c r="H53" s="5" t="str">
        <f aca="false">IF($A53="","",IFERROR(INDEX(Recipes!$C$5:$C$104,MATCH($A53&amp;"|"&amp;$G53,Recipes!$L$5:$L$104,0)),""))</f>
        <v/>
      </c>
      <c r="I53" s="5" t="str">
        <f aca="false">IF($A53="","",IF(_xlfn.MAXIFS(Recipes!$N$5:$N$104,Recipes!$A$5:$A$104,$A53,Recipes!$B$5:$B$104,"C")&gt;1,"Shares parts with other kits",""))</f>
        <v/>
      </c>
      <c r="J53" s="4"/>
    </row>
    <row r="54" customFormat="false" ht="15" hidden="false" customHeight="false" outlineLevel="0" collapsed="false">
      <c r="A54" s="4"/>
      <c r="B54" s="4"/>
      <c r="C54" s="4"/>
      <c r="D54" s="7"/>
      <c r="E54" s="5" t="str">
        <f aca="false">IF($A54="","",SUMIFS(Movements!$D$5:$D$304,Movements!$C$5:$C$304,$A54,Movements!$B$5:$B$304,"Sell"))</f>
        <v/>
      </c>
      <c r="F54" s="5" t="str">
        <f aca="false">IF($A54="","",_xlfn.MINIFS(Recipes!$J$5:$J$104,Recipes!$A$5:$A$104,$A54,Recipes!$B$5:$B$104,"C"))</f>
        <v/>
      </c>
      <c r="G54" s="5" t="str">
        <f aca="false">IF($A54="","",_xlfn.MINIFS(Recipes!$K$5:$K$104,Recipes!$A$5:$A$104,$A54,Recipes!$B$5:$B$104,"C"))</f>
        <v/>
      </c>
      <c r="H54" s="5" t="str">
        <f aca="false">IF($A54="","",IFERROR(INDEX(Recipes!$C$5:$C$104,MATCH($A54&amp;"|"&amp;$G54,Recipes!$L$5:$L$104,0)),""))</f>
        <v/>
      </c>
      <c r="I54" s="5" t="str">
        <f aca="false">IF($A54="","",IF(_xlfn.MAXIFS(Recipes!$N$5:$N$104,Recipes!$A$5:$A$104,$A54,Recipes!$B$5:$B$104,"C")&gt;1,"Shares parts with other kits",""))</f>
        <v/>
      </c>
      <c r="J54" s="4"/>
    </row>
    <row r="55" customFormat="false" ht="15" hidden="false" customHeight="false" outlineLevel="0" collapsed="false">
      <c r="A55" s="4"/>
      <c r="B55" s="4"/>
      <c r="C55" s="4"/>
      <c r="D55" s="7"/>
      <c r="E55" s="5" t="str">
        <f aca="false">IF($A55="","",SUMIFS(Movements!$D$5:$D$304,Movements!$C$5:$C$304,$A55,Movements!$B$5:$B$304,"Sell"))</f>
        <v/>
      </c>
      <c r="F55" s="5" t="str">
        <f aca="false">IF($A55="","",_xlfn.MINIFS(Recipes!$J$5:$J$104,Recipes!$A$5:$A$104,$A55,Recipes!$B$5:$B$104,"C"))</f>
        <v/>
      </c>
      <c r="G55" s="5" t="str">
        <f aca="false">IF($A55="","",_xlfn.MINIFS(Recipes!$K$5:$K$104,Recipes!$A$5:$A$104,$A55,Recipes!$B$5:$B$104,"C"))</f>
        <v/>
      </c>
      <c r="H55" s="5" t="str">
        <f aca="false">IF($A55="","",IFERROR(INDEX(Recipes!$C$5:$C$104,MATCH($A55&amp;"|"&amp;$G55,Recipes!$L$5:$L$104,0)),""))</f>
        <v/>
      </c>
      <c r="I55" s="5" t="str">
        <f aca="false">IF($A55="","",IF(_xlfn.MAXIFS(Recipes!$N$5:$N$104,Recipes!$A$5:$A$104,$A55,Recipes!$B$5:$B$104,"C")&gt;1,"Shares parts with other kits",""))</f>
        <v/>
      </c>
      <c r="J55" s="4"/>
    </row>
    <row r="56" customFormat="false" ht="15" hidden="false" customHeight="false" outlineLevel="0" collapsed="false">
      <c r="A56" s="4"/>
      <c r="B56" s="4"/>
      <c r="C56" s="4"/>
      <c r="D56" s="7"/>
      <c r="E56" s="5" t="str">
        <f aca="false">IF($A56="","",SUMIFS(Movements!$D$5:$D$304,Movements!$C$5:$C$304,$A56,Movements!$B$5:$B$304,"Sell"))</f>
        <v/>
      </c>
      <c r="F56" s="5" t="str">
        <f aca="false">IF($A56="","",_xlfn.MINIFS(Recipes!$J$5:$J$104,Recipes!$A$5:$A$104,$A56,Recipes!$B$5:$B$104,"C"))</f>
        <v/>
      </c>
      <c r="G56" s="5" t="str">
        <f aca="false">IF($A56="","",_xlfn.MINIFS(Recipes!$K$5:$K$104,Recipes!$A$5:$A$104,$A56,Recipes!$B$5:$B$104,"C"))</f>
        <v/>
      </c>
      <c r="H56" s="5" t="str">
        <f aca="false">IF($A56="","",IFERROR(INDEX(Recipes!$C$5:$C$104,MATCH($A56&amp;"|"&amp;$G56,Recipes!$L$5:$L$104,0)),""))</f>
        <v/>
      </c>
      <c r="I56" s="5" t="str">
        <f aca="false">IF($A56="","",IF(_xlfn.MAXIFS(Recipes!$N$5:$N$104,Recipes!$A$5:$A$104,$A56,Recipes!$B$5:$B$104,"C")&gt;1,"Shares parts with other kits",""))</f>
        <v/>
      </c>
      <c r="J56" s="4"/>
    </row>
    <row r="57" customFormat="false" ht="15" hidden="false" customHeight="false" outlineLevel="0" collapsed="false">
      <c r="A57" s="4"/>
      <c r="B57" s="4"/>
      <c r="C57" s="4"/>
      <c r="D57" s="7"/>
      <c r="E57" s="5" t="str">
        <f aca="false">IF($A57="","",SUMIFS(Movements!$D$5:$D$304,Movements!$C$5:$C$304,$A57,Movements!$B$5:$B$304,"Sell"))</f>
        <v/>
      </c>
      <c r="F57" s="5" t="str">
        <f aca="false">IF($A57="","",_xlfn.MINIFS(Recipes!$J$5:$J$104,Recipes!$A$5:$A$104,$A57,Recipes!$B$5:$B$104,"C"))</f>
        <v/>
      </c>
      <c r="G57" s="5" t="str">
        <f aca="false">IF($A57="","",_xlfn.MINIFS(Recipes!$K$5:$K$104,Recipes!$A$5:$A$104,$A57,Recipes!$B$5:$B$104,"C"))</f>
        <v/>
      </c>
      <c r="H57" s="5" t="str">
        <f aca="false">IF($A57="","",IFERROR(INDEX(Recipes!$C$5:$C$104,MATCH($A57&amp;"|"&amp;$G57,Recipes!$L$5:$L$104,0)),""))</f>
        <v/>
      </c>
      <c r="I57" s="5" t="str">
        <f aca="false">IF($A57="","",IF(_xlfn.MAXIFS(Recipes!$N$5:$N$104,Recipes!$A$5:$A$104,$A57,Recipes!$B$5:$B$104,"C")&gt;1,"Shares parts with other kits",""))</f>
        <v/>
      </c>
      <c r="J57" s="4"/>
    </row>
    <row r="58" customFormat="false" ht="15" hidden="false" customHeight="false" outlineLevel="0" collapsed="false">
      <c r="A58" s="4"/>
      <c r="B58" s="4"/>
      <c r="C58" s="4"/>
      <c r="D58" s="7"/>
      <c r="E58" s="5" t="str">
        <f aca="false">IF($A58="","",SUMIFS(Movements!$D$5:$D$304,Movements!$C$5:$C$304,$A58,Movements!$B$5:$B$304,"Sell"))</f>
        <v/>
      </c>
      <c r="F58" s="5" t="str">
        <f aca="false">IF($A58="","",_xlfn.MINIFS(Recipes!$J$5:$J$104,Recipes!$A$5:$A$104,$A58,Recipes!$B$5:$B$104,"C"))</f>
        <v/>
      </c>
      <c r="G58" s="5" t="str">
        <f aca="false">IF($A58="","",_xlfn.MINIFS(Recipes!$K$5:$K$104,Recipes!$A$5:$A$104,$A58,Recipes!$B$5:$B$104,"C"))</f>
        <v/>
      </c>
      <c r="H58" s="5" t="str">
        <f aca="false">IF($A58="","",IFERROR(INDEX(Recipes!$C$5:$C$104,MATCH($A58&amp;"|"&amp;$G58,Recipes!$L$5:$L$104,0)),""))</f>
        <v/>
      </c>
      <c r="I58" s="5" t="str">
        <f aca="false">IF($A58="","",IF(_xlfn.MAXIFS(Recipes!$N$5:$N$104,Recipes!$A$5:$A$104,$A58,Recipes!$B$5:$B$104,"C")&gt;1,"Shares parts with other kits",""))</f>
        <v/>
      </c>
      <c r="J58" s="4"/>
    </row>
    <row r="59" customFormat="false" ht="15" hidden="false" customHeight="false" outlineLevel="0" collapsed="false">
      <c r="A59" s="4"/>
      <c r="B59" s="4"/>
      <c r="C59" s="4"/>
      <c r="D59" s="7"/>
      <c r="E59" s="5" t="str">
        <f aca="false">IF($A59="","",SUMIFS(Movements!$D$5:$D$304,Movements!$C$5:$C$304,$A59,Movements!$B$5:$B$304,"Sell"))</f>
        <v/>
      </c>
      <c r="F59" s="5" t="str">
        <f aca="false">IF($A59="","",_xlfn.MINIFS(Recipes!$J$5:$J$104,Recipes!$A$5:$A$104,$A59,Recipes!$B$5:$B$104,"C"))</f>
        <v/>
      </c>
      <c r="G59" s="5" t="str">
        <f aca="false">IF($A59="","",_xlfn.MINIFS(Recipes!$K$5:$K$104,Recipes!$A$5:$A$104,$A59,Recipes!$B$5:$B$104,"C"))</f>
        <v/>
      </c>
      <c r="H59" s="5" t="str">
        <f aca="false">IF($A59="","",IFERROR(INDEX(Recipes!$C$5:$C$104,MATCH($A59&amp;"|"&amp;$G59,Recipes!$L$5:$L$104,0)),""))</f>
        <v/>
      </c>
      <c r="I59" s="5" t="str">
        <f aca="false">IF($A59="","",IF(_xlfn.MAXIFS(Recipes!$N$5:$N$104,Recipes!$A$5:$A$104,$A59,Recipes!$B$5:$B$104,"C")&gt;1,"Shares parts with other kits",""))</f>
        <v/>
      </c>
      <c r="J59" s="4"/>
    </row>
    <row r="60" customFormat="false" ht="15" hidden="false" customHeight="false" outlineLevel="0" collapsed="false">
      <c r="A60" s="4"/>
      <c r="B60" s="4"/>
      <c r="C60" s="4"/>
      <c r="D60" s="7"/>
      <c r="E60" s="5" t="str">
        <f aca="false">IF($A60="","",SUMIFS(Movements!$D$5:$D$304,Movements!$C$5:$C$304,$A60,Movements!$B$5:$B$304,"Sell"))</f>
        <v/>
      </c>
      <c r="F60" s="5" t="str">
        <f aca="false">IF($A60="","",_xlfn.MINIFS(Recipes!$J$5:$J$104,Recipes!$A$5:$A$104,$A60,Recipes!$B$5:$B$104,"C"))</f>
        <v/>
      </c>
      <c r="G60" s="5" t="str">
        <f aca="false">IF($A60="","",_xlfn.MINIFS(Recipes!$K$5:$K$104,Recipes!$A$5:$A$104,$A60,Recipes!$B$5:$B$104,"C"))</f>
        <v/>
      </c>
      <c r="H60" s="5" t="str">
        <f aca="false">IF($A60="","",IFERROR(INDEX(Recipes!$C$5:$C$104,MATCH($A60&amp;"|"&amp;$G60,Recipes!$L$5:$L$104,0)),""))</f>
        <v/>
      </c>
      <c r="I60" s="5" t="str">
        <f aca="false">IF($A60="","",IF(_xlfn.MAXIFS(Recipes!$N$5:$N$104,Recipes!$A$5:$A$104,$A60,Recipes!$B$5:$B$104,"C")&gt;1,"Shares parts with other kits",""))</f>
        <v/>
      </c>
      <c r="J60" s="4"/>
    </row>
    <row r="61" customFormat="false" ht="15" hidden="false" customHeight="false" outlineLevel="0" collapsed="false">
      <c r="A61" s="4"/>
      <c r="B61" s="4"/>
      <c r="C61" s="4"/>
      <c r="D61" s="7"/>
      <c r="E61" s="5" t="str">
        <f aca="false">IF($A61="","",SUMIFS(Movements!$D$5:$D$304,Movements!$C$5:$C$304,$A61,Movements!$B$5:$B$304,"Sell"))</f>
        <v/>
      </c>
      <c r="F61" s="5" t="str">
        <f aca="false">IF($A61="","",_xlfn.MINIFS(Recipes!$J$5:$J$104,Recipes!$A$5:$A$104,$A61,Recipes!$B$5:$B$104,"C"))</f>
        <v/>
      </c>
      <c r="G61" s="5" t="str">
        <f aca="false">IF($A61="","",_xlfn.MINIFS(Recipes!$K$5:$K$104,Recipes!$A$5:$A$104,$A61,Recipes!$B$5:$B$104,"C"))</f>
        <v/>
      </c>
      <c r="H61" s="5" t="str">
        <f aca="false">IF($A61="","",IFERROR(INDEX(Recipes!$C$5:$C$104,MATCH($A61&amp;"|"&amp;$G61,Recipes!$L$5:$L$104,0)),""))</f>
        <v/>
      </c>
      <c r="I61" s="5" t="str">
        <f aca="false">IF($A61="","",IF(_xlfn.MAXIFS(Recipes!$N$5:$N$104,Recipes!$A$5:$A$104,$A61,Recipes!$B$5:$B$104,"C")&gt;1,"Shares parts with other kits",""))</f>
        <v/>
      </c>
      <c r="J61" s="4"/>
    </row>
    <row r="62" customFormat="false" ht="15" hidden="false" customHeight="false" outlineLevel="0" collapsed="false">
      <c r="A62" s="4"/>
      <c r="B62" s="4"/>
      <c r="C62" s="4"/>
      <c r="D62" s="7"/>
      <c r="E62" s="5" t="str">
        <f aca="false">IF($A62="","",SUMIFS(Movements!$D$5:$D$304,Movements!$C$5:$C$304,$A62,Movements!$B$5:$B$304,"Sell"))</f>
        <v/>
      </c>
      <c r="F62" s="5" t="str">
        <f aca="false">IF($A62="","",_xlfn.MINIFS(Recipes!$J$5:$J$104,Recipes!$A$5:$A$104,$A62,Recipes!$B$5:$B$104,"C"))</f>
        <v/>
      </c>
      <c r="G62" s="5" t="str">
        <f aca="false">IF($A62="","",_xlfn.MINIFS(Recipes!$K$5:$K$104,Recipes!$A$5:$A$104,$A62,Recipes!$B$5:$B$104,"C"))</f>
        <v/>
      </c>
      <c r="H62" s="5" t="str">
        <f aca="false">IF($A62="","",IFERROR(INDEX(Recipes!$C$5:$C$104,MATCH($A62&amp;"|"&amp;$G62,Recipes!$L$5:$L$104,0)),""))</f>
        <v/>
      </c>
      <c r="I62" s="5" t="str">
        <f aca="false">IF($A62="","",IF(_xlfn.MAXIFS(Recipes!$N$5:$N$104,Recipes!$A$5:$A$104,$A62,Recipes!$B$5:$B$104,"C")&gt;1,"Shares parts with other kits",""))</f>
        <v/>
      </c>
      <c r="J62" s="4"/>
    </row>
    <row r="63" customFormat="false" ht="15" hidden="false" customHeight="false" outlineLevel="0" collapsed="false">
      <c r="A63" s="4"/>
      <c r="B63" s="4"/>
      <c r="C63" s="4"/>
      <c r="D63" s="7"/>
      <c r="E63" s="5" t="str">
        <f aca="false">IF($A63="","",SUMIFS(Movements!$D$5:$D$304,Movements!$C$5:$C$304,$A63,Movements!$B$5:$B$304,"Sell"))</f>
        <v/>
      </c>
      <c r="F63" s="5" t="str">
        <f aca="false">IF($A63="","",_xlfn.MINIFS(Recipes!$J$5:$J$104,Recipes!$A$5:$A$104,$A63,Recipes!$B$5:$B$104,"C"))</f>
        <v/>
      </c>
      <c r="G63" s="5" t="str">
        <f aca="false">IF($A63="","",_xlfn.MINIFS(Recipes!$K$5:$K$104,Recipes!$A$5:$A$104,$A63,Recipes!$B$5:$B$104,"C"))</f>
        <v/>
      </c>
      <c r="H63" s="5" t="str">
        <f aca="false">IF($A63="","",IFERROR(INDEX(Recipes!$C$5:$C$104,MATCH($A63&amp;"|"&amp;$G63,Recipes!$L$5:$L$104,0)),""))</f>
        <v/>
      </c>
      <c r="I63" s="5" t="str">
        <f aca="false">IF($A63="","",IF(_xlfn.MAXIFS(Recipes!$N$5:$N$104,Recipes!$A$5:$A$104,$A63,Recipes!$B$5:$B$104,"C")&gt;1,"Shares parts with other kits",""))</f>
        <v/>
      </c>
      <c r="J63" s="4"/>
    </row>
    <row r="64" customFormat="false" ht="15" hidden="false" customHeight="false" outlineLevel="0" collapsed="false">
      <c r="A64" s="4"/>
      <c r="B64" s="4"/>
      <c r="C64" s="4"/>
      <c r="D64" s="7"/>
      <c r="E64" s="5" t="str">
        <f aca="false">IF($A64="","",SUMIFS(Movements!$D$5:$D$304,Movements!$C$5:$C$304,$A64,Movements!$B$5:$B$304,"Sell"))</f>
        <v/>
      </c>
      <c r="F64" s="5" t="str">
        <f aca="false">IF($A64="","",_xlfn.MINIFS(Recipes!$J$5:$J$104,Recipes!$A$5:$A$104,$A64,Recipes!$B$5:$B$104,"C"))</f>
        <v/>
      </c>
      <c r="G64" s="5" t="str">
        <f aca="false">IF($A64="","",_xlfn.MINIFS(Recipes!$K$5:$K$104,Recipes!$A$5:$A$104,$A64,Recipes!$B$5:$B$104,"C"))</f>
        <v/>
      </c>
      <c r="H64" s="5" t="str">
        <f aca="false">IF($A64="","",IFERROR(INDEX(Recipes!$C$5:$C$104,MATCH($A64&amp;"|"&amp;$G64,Recipes!$L$5:$L$104,0)),""))</f>
        <v/>
      </c>
      <c r="I64" s="5" t="str">
        <f aca="false">IF($A64="","",IF(_xlfn.MAXIFS(Recipes!$N$5:$N$104,Recipes!$A$5:$A$104,$A64,Recipes!$B$5:$B$104,"C")&gt;1,"Shares parts with other kits",""))</f>
        <v/>
      </c>
      <c r="J64" s="4"/>
    </row>
    <row r="65" customFormat="false" ht="15" hidden="false" customHeight="false" outlineLevel="0" collapsed="false">
      <c r="A65" s="4"/>
      <c r="B65" s="4"/>
      <c r="C65" s="4"/>
      <c r="D65" s="7"/>
      <c r="E65" s="5" t="str">
        <f aca="false">IF($A65="","",SUMIFS(Movements!$D$5:$D$304,Movements!$C$5:$C$304,$A65,Movements!$B$5:$B$304,"Sell"))</f>
        <v/>
      </c>
      <c r="F65" s="5" t="str">
        <f aca="false">IF($A65="","",_xlfn.MINIFS(Recipes!$J$5:$J$104,Recipes!$A$5:$A$104,$A65,Recipes!$B$5:$B$104,"C"))</f>
        <v/>
      </c>
      <c r="G65" s="5" t="str">
        <f aca="false">IF($A65="","",_xlfn.MINIFS(Recipes!$K$5:$K$104,Recipes!$A$5:$A$104,$A65,Recipes!$B$5:$B$104,"C"))</f>
        <v/>
      </c>
      <c r="H65" s="5" t="str">
        <f aca="false">IF($A65="","",IFERROR(INDEX(Recipes!$C$5:$C$104,MATCH($A65&amp;"|"&amp;$G65,Recipes!$L$5:$L$104,0)),""))</f>
        <v/>
      </c>
      <c r="I65" s="5" t="str">
        <f aca="false">IF($A65="","",IF(_xlfn.MAXIFS(Recipes!$N$5:$N$104,Recipes!$A$5:$A$104,$A65,Recipes!$B$5:$B$104,"C")&gt;1,"Shares parts with other kits",""))</f>
        <v/>
      </c>
      <c r="J65" s="4"/>
    </row>
    <row r="66" customFormat="false" ht="15" hidden="false" customHeight="false" outlineLevel="0" collapsed="false">
      <c r="A66" s="4"/>
      <c r="B66" s="4"/>
      <c r="C66" s="4"/>
      <c r="D66" s="7"/>
      <c r="E66" s="5" t="str">
        <f aca="false">IF($A66="","",SUMIFS(Movements!$D$5:$D$304,Movements!$C$5:$C$304,$A66,Movements!$B$5:$B$304,"Sell"))</f>
        <v/>
      </c>
      <c r="F66" s="5" t="str">
        <f aca="false">IF($A66="","",_xlfn.MINIFS(Recipes!$J$5:$J$104,Recipes!$A$5:$A$104,$A66,Recipes!$B$5:$B$104,"C"))</f>
        <v/>
      </c>
      <c r="G66" s="5" t="str">
        <f aca="false">IF($A66="","",_xlfn.MINIFS(Recipes!$K$5:$K$104,Recipes!$A$5:$A$104,$A66,Recipes!$B$5:$B$104,"C"))</f>
        <v/>
      </c>
      <c r="H66" s="5" t="str">
        <f aca="false">IF($A66="","",IFERROR(INDEX(Recipes!$C$5:$C$104,MATCH($A66&amp;"|"&amp;$G66,Recipes!$L$5:$L$104,0)),""))</f>
        <v/>
      </c>
      <c r="I66" s="5" t="str">
        <f aca="false">IF($A66="","",IF(_xlfn.MAXIFS(Recipes!$N$5:$N$104,Recipes!$A$5:$A$104,$A66,Recipes!$B$5:$B$104,"C")&gt;1,"Shares parts with other kits",""))</f>
        <v/>
      </c>
      <c r="J66" s="4"/>
    </row>
    <row r="67" customFormat="false" ht="15" hidden="false" customHeight="false" outlineLevel="0" collapsed="false">
      <c r="A67" s="4"/>
      <c r="B67" s="4"/>
      <c r="C67" s="4"/>
      <c r="D67" s="7"/>
      <c r="E67" s="5" t="str">
        <f aca="false">IF($A67="","",SUMIFS(Movements!$D$5:$D$304,Movements!$C$5:$C$304,$A67,Movements!$B$5:$B$304,"Sell"))</f>
        <v/>
      </c>
      <c r="F67" s="5" t="str">
        <f aca="false">IF($A67="","",_xlfn.MINIFS(Recipes!$J$5:$J$104,Recipes!$A$5:$A$104,$A67,Recipes!$B$5:$B$104,"C"))</f>
        <v/>
      </c>
      <c r="G67" s="5" t="str">
        <f aca="false">IF($A67="","",_xlfn.MINIFS(Recipes!$K$5:$K$104,Recipes!$A$5:$A$104,$A67,Recipes!$B$5:$B$104,"C"))</f>
        <v/>
      </c>
      <c r="H67" s="5" t="str">
        <f aca="false">IF($A67="","",IFERROR(INDEX(Recipes!$C$5:$C$104,MATCH($A67&amp;"|"&amp;$G67,Recipes!$L$5:$L$104,0)),""))</f>
        <v/>
      </c>
      <c r="I67" s="5" t="str">
        <f aca="false">IF($A67="","",IF(_xlfn.MAXIFS(Recipes!$N$5:$N$104,Recipes!$A$5:$A$104,$A67,Recipes!$B$5:$B$104,"C")&gt;1,"Shares parts with other kits",""))</f>
        <v/>
      </c>
      <c r="J67" s="4"/>
    </row>
    <row r="68" customFormat="false" ht="15" hidden="false" customHeight="false" outlineLevel="0" collapsed="false">
      <c r="A68" s="4"/>
      <c r="B68" s="4"/>
      <c r="C68" s="4"/>
      <c r="D68" s="7"/>
      <c r="E68" s="5" t="str">
        <f aca="false">IF($A68="","",SUMIFS(Movements!$D$5:$D$304,Movements!$C$5:$C$304,$A68,Movements!$B$5:$B$304,"Sell"))</f>
        <v/>
      </c>
      <c r="F68" s="5" t="str">
        <f aca="false">IF($A68="","",_xlfn.MINIFS(Recipes!$J$5:$J$104,Recipes!$A$5:$A$104,$A68,Recipes!$B$5:$B$104,"C"))</f>
        <v/>
      </c>
      <c r="G68" s="5" t="str">
        <f aca="false">IF($A68="","",_xlfn.MINIFS(Recipes!$K$5:$K$104,Recipes!$A$5:$A$104,$A68,Recipes!$B$5:$B$104,"C"))</f>
        <v/>
      </c>
      <c r="H68" s="5" t="str">
        <f aca="false">IF($A68="","",IFERROR(INDEX(Recipes!$C$5:$C$104,MATCH($A68&amp;"|"&amp;$G68,Recipes!$L$5:$L$104,0)),""))</f>
        <v/>
      </c>
      <c r="I68" s="5" t="str">
        <f aca="false">IF($A68="","",IF(_xlfn.MAXIFS(Recipes!$N$5:$N$104,Recipes!$A$5:$A$104,$A68,Recipes!$B$5:$B$104,"C")&gt;1,"Shares parts with other kits",""))</f>
        <v/>
      </c>
      <c r="J68" s="4"/>
    </row>
    <row r="69" customFormat="false" ht="15" hidden="false" customHeight="false" outlineLevel="0" collapsed="false">
      <c r="A69" s="4"/>
      <c r="B69" s="4"/>
      <c r="C69" s="4"/>
      <c r="D69" s="7"/>
      <c r="E69" s="5" t="str">
        <f aca="false">IF($A69="","",SUMIFS(Movements!$D$5:$D$304,Movements!$C$5:$C$304,$A69,Movements!$B$5:$B$304,"Sell"))</f>
        <v/>
      </c>
      <c r="F69" s="5" t="str">
        <f aca="false">IF($A69="","",_xlfn.MINIFS(Recipes!$J$5:$J$104,Recipes!$A$5:$A$104,$A69,Recipes!$B$5:$B$104,"C"))</f>
        <v/>
      </c>
      <c r="G69" s="5" t="str">
        <f aca="false">IF($A69="","",_xlfn.MINIFS(Recipes!$K$5:$K$104,Recipes!$A$5:$A$104,$A69,Recipes!$B$5:$B$104,"C"))</f>
        <v/>
      </c>
      <c r="H69" s="5" t="str">
        <f aca="false">IF($A69="","",IFERROR(INDEX(Recipes!$C$5:$C$104,MATCH($A69&amp;"|"&amp;$G69,Recipes!$L$5:$L$104,0)),""))</f>
        <v/>
      </c>
      <c r="I69" s="5" t="str">
        <f aca="false">IF($A69="","",IF(_xlfn.MAXIFS(Recipes!$N$5:$N$104,Recipes!$A$5:$A$104,$A69,Recipes!$B$5:$B$104,"C")&gt;1,"Shares parts with other kits",""))</f>
        <v/>
      </c>
      <c r="J69" s="4"/>
    </row>
    <row r="70" customFormat="false" ht="15" hidden="false" customHeight="false" outlineLevel="0" collapsed="false">
      <c r="A70" s="4"/>
      <c r="B70" s="4"/>
      <c r="C70" s="4"/>
      <c r="D70" s="7"/>
      <c r="E70" s="5" t="str">
        <f aca="false">IF($A70="","",SUMIFS(Movements!$D$5:$D$304,Movements!$C$5:$C$304,$A70,Movements!$B$5:$B$304,"Sell"))</f>
        <v/>
      </c>
      <c r="F70" s="5" t="str">
        <f aca="false">IF($A70="","",_xlfn.MINIFS(Recipes!$J$5:$J$104,Recipes!$A$5:$A$104,$A70,Recipes!$B$5:$B$104,"C"))</f>
        <v/>
      </c>
      <c r="G70" s="5" t="str">
        <f aca="false">IF($A70="","",_xlfn.MINIFS(Recipes!$K$5:$K$104,Recipes!$A$5:$A$104,$A70,Recipes!$B$5:$B$104,"C"))</f>
        <v/>
      </c>
      <c r="H70" s="5" t="str">
        <f aca="false">IF($A70="","",IFERROR(INDEX(Recipes!$C$5:$C$104,MATCH($A70&amp;"|"&amp;$G70,Recipes!$L$5:$L$104,0)),""))</f>
        <v/>
      </c>
      <c r="I70" s="5" t="str">
        <f aca="false">IF($A70="","",IF(_xlfn.MAXIFS(Recipes!$N$5:$N$104,Recipes!$A$5:$A$104,$A70,Recipes!$B$5:$B$104,"C")&gt;1,"Shares parts with other kits",""))</f>
        <v/>
      </c>
      <c r="J70" s="4"/>
    </row>
    <row r="71" customFormat="false" ht="15" hidden="false" customHeight="false" outlineLevel="0" collapsed="false">
      <c r="A71" s="4"/>
      <c r="B71" s="4"/>
      <c r="C71" s="4"/>
      <c r="D71" s="7"/>
      <c r="E71" s="5" t="str">
        <f aca="false">IF($A71="","",SUMIFS(Movements!$D$5:$D$304,Movements!$C$5:$C$304,$A71,Movements!$B$5:$B$304,"Sell"))</f>
        <v/>
      </c>
      <c r="F71" s="5" t="str">
        <f aca="false">IF($A71="","",_xlfn.MINIFS(Recipes!$J$5:$J$104,Recipes!$A$5:$A$104,$A71,Recipes!$B$5:$B$104,"C"))</f>
        <v/>
      </c>
      <c r="G71" s="5" t="str">
        <f aca="false">IF($A71="","",_xlfn.MINIFS(Recipes!$K$5:$K$104,Recipes!$A$5:$A$104,$A71,Recipes!$B$5:$B$104,"C"))</f>
        <v/>
      </c>
      <c r="H71" s="5" t="str">
        <f aca="false">IF($A71="","",IFERROR(INDEX(Recipes!$C$5:$C$104,MATCH($A71&amp;"|"&amp;$G71,Recipes!$L$5:$L$104,0)),""))</f>
        <v/>
      </c>
      <c r="I71" s="5" t="str">
        <f aca="false">IF($A71="","",IF(_xlfn.MAXIFS(Recipes!$N$5:$N$104,Recipes!$A$5:$A$104,$A71,Recipes!$B$5:$B$104,"C")&gt;1,"Shares parts with other kits",""))</f>
        <v/>
      </c>
      <c r="J71" s="4"/>
    </row>
    <row r="72" customFormat="false" ht="15" hidden="false" customHeight="false" outlineLevel="0" collapsed="false">
      <c r="A72" s="4"/>
      <c r="B72" s="4"/>
      <c r="C72" s="4"/>
      <c r="D72" s="7"/>
      <c r="E72" s="5" t="str">
        <f aca="false">IF($A72="","",SUMIFS(Movements!$D$5:$D$304,Movements!$C$5:$C$304,$A72,Movements!$B$5:$B$304,"Sell"))</f>
        <v/>
      </c>
      <c r="F72" s="5" t="str">
        <f aca="false">IF($A72="","",_xlfn.MINIFS(Recipes!$J$5:$J$104,Recipes!$A$5:$A$104,$A72,Recipes!$B$5:$B$104,"C"))</f>
        <v/>
      </c>
      <c r="G72" s="5" t="str">
        <f aca="false">IF($A72="","",_xlfn.MINIFS(Recipes!$K$5:$K$104,Recipes!$A$5:$A$104,$A72,Recipes!$B$5:$B$104,"C"))</f>
        <v/>
      </c>
      <c r="H72" s="5" t="str">
        <f aca="false">IF($A72="","",IFERROR(INDEX(Recipes!$C$5:$C$104,MATCH($A72&amp;"|"&amp;$G72,Recipes!$L$5:$L$104,0)),""))</f>
        <v/>
      </c>
      <c r="I72" s="5" t="str">
        <f aca="false">IF($A72="","",IF(_xlfn.MAXIFS(Recipes!$N$5:$N$104,Recipes!$A$5:$A$104,$A72,Recipes!$B$5:$B$104,"C")&gt;1,"Shares parts with other kits",""))</f>
        <v/>
      </c>
      <c r="J72" s="4"/>
    </row>
    <row r="73" customFormat="false" ht="15" hidden="false" customHeight="false" outlineLevel="0" collapsed="false">
      <c r="A73" s="4"/>
      <c r="B73" s="4"/>
      <c r="C73" s="4"/>
      <c r="D73" s="7"/>
      <c r="E73" s="5" t="str">
        <f aca="false">IF($A73="","",SUMIFS(Movements!$D$5:$D$304,Movements!$C$5:$C$304,$A73,Movements!$B$5:$B$304,"Sell"))</f>
        <v/>
      </c>
      <c r="F73" s="5" t="str">
        <f aca="false">IF($A73="","",_xlfn.MINIFS(Recipes!$J$5:$J$104,Recipes!$A$5:$A$104,$A73,Recipes!$B$5:$B$104,"C"))</f>
        <v/>
      </c>
      <c r="G73" s="5" t="str">
        <f aca="false">IF($A73="","",_xlfn.MINIFS(Recipes!$K$5:$K$104,Recipes!$A$5:$A$104,$A73,Recipes!$B$5:$B$104,"C"))</f>
        <v/>
      </c>
      <c r="H73" s="5" t="str">
        <f aca="false">IF($A73="","",IFERROR(INDEX(Recipes!$C$5:$C$104,MATCH($A73&amp;"|"&amp;$G73,Recipes!$L$5:$L$104,0)),""))</f>
        <v/>
      </c>
      <c r="I73" s="5" t="str">
        <f aca="false">IF($A73="","",IF(_xlfn.MAXIFS(Recipes!$N$5:$N$104,Recipes!$A$5:$A$104,$A73,Recipes!$B$5:$B$104,"C")&gt;1,"Shares parts with other kits",""))</f>
        <v/>
      </c>
      <c r="J73" s="4"/>
    </row>
    <row r="74" customFormat="false" ht="15" hidden="false" customHeight="false" outlineLevel="0" collapsed="false">
      <c r="A74" s="4"/>
      <c r="B74" s="4"/>
      <c r="C74" s="4"/>
      <c r="D74" s="7"/>
      <c r="E74" s="5" t="str">
        <f aca="false">IF($A74="","",SUMIFS(Movements!$D$5:$D$304,Movements!$C$5:$C$304,$A74,Movements!$B$5:$B$304,"Sell"))</f>
        <v/>
      </c>
      <c r="F74" s="5" t="str">
        <f aca="false">IF($A74="","",_xlfn.MINIFS(Recipes!$J$5:$J$104,Recipes!$A$5:$A$104,$A74,Recipes!$B$5:$B$104,"C"))</f>
        <v/>
      </c>
      <c r="G74" s="5" t="str">
        <f aca="false">IF($A74="","",_xlfn.MINIFS(Recipes!$K$5:$K$104,Recipes!$A$5:$A$104,$A74,Recipes!$B$5:$B$104,"C"))</f>
        <v/>
      </c>
      <c r="H74" s="5" t="str">
        <f aca="false">IF($A74="","",IFERROR(INDEX(Recipes!$C$5:$C$104,MATCH($A74&amp;"|"&amp;$G74,Recipes!$L$5:$L$104,0)),""))</f>
        <v/>
      </c>
      <c r="I74" s="5" t="str">
        <f aca="false">IF($A74="","",IF(_xlfn.MAXIFS(Recipes!$N$5:$N$104,Recipes!$A$5:$A$104,$A74,Recipes!$B$5:$B$104,"C")&gt;1,"Shares parts with other kits",""))</f>
        <v/>
      </c>
      <c r="J74" s="4"/>
    </row>
    <row r="75" customFormat="false" ht="15" hidden="false" customHeight="false" outlineLevel="0" collapsed="false">
      <c r="A75" s="4"/>
      <c r="B75" s="4"/>
      <c r="C75" s="4"/>
      <c r="D75" s="7"/>
      <c r="E75" s="5" t="str">
        <f aca="false">IF($A75="","",SUMIFS(Movements!$D$5:$D$304,Movements!$C$5:$C$304,$A75,Movements!$B$5:$B$304,"Sell"))</f>
        <v/>
      </c>
      <c r="F75" s="5" t="str">
        <f aca="false">IF($A75="","",_xlfn.MINIFS(Recipes!$J$5:$J$104,Recipes!$A$5:$A$104,$A75,Recipes!$B$5:$B$104,"C"))</f>
        <v/>
      </c>
      <c r="G75" s="5" t="str">
        <f aca="false">IF($A75="","",_xlfn.MINIFS(Recipes!$K$5:$K$104,Recipes!$A$5:$A$104,$A75,Recipes!$B$5:$B$104,"C"))</f>
        <v/>
      </c>
      <c r="H75" s="5" t="str">
        <f aca="false">IF($A75="","",IFERROR(INDEX(Recipes!$C$5:$C$104,MATCH($A75&amp;"|"&amp;$G75,Recipes!$L$5:$L$104,0)),""))</f>
        <v/>
      </c>
      <c r="I75" s="5" t="str">
        <f aca="false">IF($A75="","",IF(_xlfn.MAXIFS(Recipes!$N$5:$N$104,Recipes!$A$5:$A$104,$A75,Recipes!$B$5:$B$104,"C")&gt;1,"Shares parts with other kits",""))</f>
        <v/>
      </c>
      <c r="J75" s="4"/>
    </row>
    <row r="76" customFormat="false" ht="15" hidden="false" customHeight="false" outlineLevel="0" collapsed="false">
      <c r="A76" s="4"/>
      <c r="B76" s="4"/>
      <c r="C76" s="4"/>
      <c r="D76" s="7"/>
      <c r="E76" s="5" t="str">
        <f aca="false">IF($A76="","",SUMIFS(Movements!$D$5:$D$304,Movements!$C$5:$C$304,$A76,Movements!$B$5:$B$304,"Sell"))</f>
        <v/>
      </c>
      <c r="F76" s="5" t="str">
        <f aca="false">IF($A76="","",_xlfn.MINIFS(Recipes!$J$5:$J$104,Recipes!$A$5:$A$104,$A76,Recipes!$B$5:$B$104,"C"))</f>
        <v/>
      </c>
      <c r="G76" s="5" t="str">
        <f aca="false">IF($A76="","",_xlfn.MINIFS(Recipes!$K$5:$K$104,Recipes!$A$5:$A$104,$A76,Recipes!$B$5:$B$104,"C"))</f>
        <v/>
      </c>
      <c r="H76" s="5" t="str">
        <f aca="false">IF($A76="","",IFERROR(INDEX(Recipes!$C$5:$C$104,MATCH($A76&amp;"|"&amp;$G76,Recipes!$L$5:$L$104,0)),""))</f>
        <v/>
      </c>
      <c r="I76" s="5" t="str">
        <f aca="false">IF($A76="","",IF(_xlfn.MAXIFS(Recipes!$N$5:$N$104,Recipes!$A$5:$A$104,$A76,Recipes!$B$5:$B$104,"C")&gt;1,"Shares parts with other kits",""))</f>
        <v/>
      </c>
      <c r="J76" s="4"/>
    </row>
    <row r="77" customFormat="false" ht="15" hidden="false" customHeight="false" outlineLevel="0" collapsed="false">
      <c r="A77" s="4"/>
      <c r="B77" s="4"/>
      <c r="C77" s="4"/>
      <c r="D77" s="7"/>
      <c r="E77" s="5" t="str">
        <f aca="false">IF($A77="","",SUMIFS(Movements!$D$5:$D$304,Movements!$C$5:$C$304,$A77,Movements!$B$5:$B$304,"Sell"))</f>
        <v/>
      </c>
      <c r="F77" s="5" t="str">
        <f aca="false">IF($A77="","",_xlfn.MINIFS(Recipes!$J$5:$J$104,Recipes!$A$5:$A$104,$A77,Recipes!$B$5:$B$104,"C"))</f>
        <v/>
      </c>
      <c r="G77" s="5" t="str">
        <f aca="false">IF($A77="","",_xlfn.MINIFS(Recipes!$K$5:$K$104,Recipes!$A$5:$A$104,$A77,Recipes!$B$5:$B$104,"C"))</f>
        <v/>
      </c>
      <c r="H77" s="5" t="str">
        <f aca="false">IF($A77="","",IFERROR(INDEX(Recipes!$C$5:$C$104,MATCH($A77&amp;"|"&amp;$G77,Recipes!$L$5:$L$104,0)),""))</f>
        <v/>
      </c>
      <c r="I77" s="5" t="str">
        <f aca="false">IF($A77="","",IF(_xlfn.MAXIFS(Recipes!$N$5:$N$104,Recipes!$A$5:$A$104,$A77,Recipes!$B$5:$B$104,"C")&gt;1,"Shares parts with other kits",""))</f>
        <v/>
      </c>
      <c r="J77" s="4"/>
    </row>
    <row r="78" customFormat="false" ht="15" hidden="false" customHeight="false" outlineLevel="0" collapsed="false">
      <c r="A78" s="4"/>
      <c r="B78" s="4"/>
      <c r="C78" s="4"/>
      <c r="D78" s="7"/>
      <c r="E78" s="5" t="str">
        <f aca="false">IF($A78="","",SUMIFS(Movements!$D$5:$D$304,Movements!$C$5:$C$304,$A78,Movements!$B$5:$B$304,"Sell"))</f>
        <v/>
      </c>
      <c r="F78" s="5" t="str">
        <f aca="false">IF($A78="","",_xlfn.MINIFS(Recipes!$J$5:$J$104,Recipes!$A$5:$A$104,$A78,Recipes!$B$5:$B$104,"C"))</f>
        <v/>
      </c>
      <c r="G78" s="5" t="str">
        <f aca="false">IF($A78="","",_xlfn.MINIFS(Recipes!$K$5:$K$104,Recipes!$A$5:$A$104,$A78,Recipes!$B$5:$B$104,"C"))</f>
        <v/>
      </c>
      <c r="H78" s="5" t="str">
        <f aca="false">IF($A78="","",IFERROR(INDEX(Recipes!$C$5:$C$104,MATCH($A78&amp;"|"&amp;$G78,Recipes!$L$5:$L$104,0)),""))</f>
        <v/>
      </c>
      <c r="I78" s="5" t="str">
        <f aca="false">IF($A78="","",IF(_xlfn.MAXIFS(Recipes!$N$5:$N$104,Recipes!$A$5:$A$104,$A78,Recipes!$B$5:$B$104,"C")&gt;1,"Shares parts with other kits",""))</f>
        <v/>
      </c>
      <c r="J78" s="4"/>
    </row>
    <row r="79" customFormat="false" ht="15" hidden="false" customHeight="false" outlineLevel="0" collapsed="false">
      <c r="A79" s="4"/>
      <c r="B79" s="4"/>
      <c r="C79" s="4"/>
      <c r="D79" s="7"/>
      <c r="E79" s="5" t="str">
        <f aca="false">IF($A79="","",SUMIFS(Movements!$D$5:$D$304,Movements!$C$5:$C$304,$A79,Movements!$B$5:$B$304,"Sell"))</f>
        <v/>
      </c>
      <c r="F79" s="5" t="str">
        <f aca="false">IF($A79="","",_xlfn.MINIFS(Recipes!$J$5:$J$104,Recipes!$A$5:$A$104,$A79,Recipes!$B$5:$B$104,"C"))</f>
        <v/>
      </c>
      <c r="G79" s="5" t="str">
        <f aca="false">IF($A79="","",_xlfn.MINIFS(Recipes!$K$5:$K$104,Recipes!$A$5:$A$104,$A79,Recipes!$B$5:$B$104,"C"))</f>
        <v/>
      </c>
      <c r="H79" s="5" t="str">
        <f aca="false">IF($A79="","",IFERROR(INDEX(Recipes!$C$5:$C$104,MATCH($A79&amp;"|"&amp;$G79,Recipes!$L$5:$L$104,0)),""))</f>
        <v/>
      </c>
      <c r="I79" s="5" t="str">
        <f aca="false">IF($A79="","",IF(_xlfn.MAXIFS(Recipes!$N$5:$N$104,Recipes!$A$5:$A$104,$A79,Recipes!$B$5:$B$104,"C")&gt;1,"Shares parts with other kits",""))</f>
        <v/>
      </c>
      <c r="J79" s="4"/>
    </row>
    <row r="80" customFormat="false" ht="15" hidden="false" customHeight="false" outlineLevel="0" collapsed="false">
      <c r="A80" s="4"/>
      <c r="B80" s="4"/>
      <c r="C80" s="4"/>
      <c r="D80" s="7"/>
      <c r="E80" s="5" t="str">
        <f aca="false">IF($A80="","",SUMIFS(Movements!$D$5:$D$304,Movements!$C$5:$C$304,$A80,Movements!$B$5:$B$304,"Sell"))</f>
        <v/>
      </c>
      <c r="F80" s="5" t="str">
        <f aca="false">IF($A80="","",_xlfn.MINIFS(Recipes!$J$5:$J$104,Recipes!$A$5:$A$104,$A80,Recipes!$B$5:$B$104,"C"))</f>
        <v/>
      </c>
      <c r="G80" s="5" t="str">
        <f aca="false">IF($A80="","",_xlfn.MINIFS(Recipes!$K$5:$K$104,Recipes!$A$5:$A$104,$A80,Recipes!$B$5:$B$104,"C"))</f>
        <v/>
      </c>
      <c r="H80" s="5" t="str">
        <f aca="false">IF($A80="","",IFERROR(INDEX(Recipes!$C$5:$C$104,MATCH($A80&amp;"|"&amp;$G80,Recipes!$L$5:$L$104,0)),""))</f>
        <v/>
      </c>
      <c r="I80" s="5" t="str">
        <f aca="false">IF($A80="","",IF(_xlfn.MAXIFS(Recipes!$N$5:$N$104,Recipes!$A$5:$A$104,$A80,Recipes!$B$5:$B$104,"C")&gt;1,"Shares parts with other kits",""))</f>
        <v/>
      </c>
      <c r="J80" s="4"/>
    </row>
    <row r="81" customFormat="false" ht="15" hidden="false" customHeight="false" outlineLevel="0" collapsed="false">
      <c r="A81" s="4"/>
      <c r="B81" s="4"/>
      <c r="C81" s="4"/>
      <c r="D81" s="7"/>
      <c r="E81" s="5" t="str">
        <f aca="false">IF($A81="","",SUMIFS(Movements!$D$5:$D$304,Movements!$C$5:$C$304,$A81,Movements!$B$5:$B$304,"Sell"))</f>
        <v/>
      </c>
      <c r="F81" s="5" t="str">
        <f aca="false">IF($A81="","",_xlfn.MINIFS(Recipes!$J$5:$J$104,Recipes!$A$5:$A$104,$A81,Recipes!$B$5:$B$104,"C"))</f>
        <v/>
      </c>
      <c r="G81" s="5" t="str">
        <f aca="false">IF($A81="","",_xlfn.MINIFS(Recipes!$K$5:$K$104,Recipes!$A$5:$A$104,$A81,Recipes!$B$5:$B$104,"C"))</f>
        <v/>
      </c>
      <c r="H81" s="5" t="str">
        <f aca="false">IF($A81="","",IFERROR(INDEX(Recipes!$C$5:$C$104,MATCH($A81&amp;"|"&amp;$G81,Recipes!$L$5:$L$104,0)),""))</f>
        <v/>
      </c>
      <c r="I81" s="5" t="str">
        <f aca="false">IF($A81="","",IF(_xlfn.MAXIFS(Recipes!$N$5:$N$104,Recipes!$A$5:$A$104,$A81,Recipes!$B$5:$B$104,"C")&gt;1,"Shares parts with other kits",""))</f>
        <v/>
      </c>
      <c r="J81" s="4"/>
    </row>
    <row r="82" customFormat="false" ht="15" hidden="false" customHeight="false" outlineLevel="0" collapsed="false">
      <c r="A82" s="4"/>
      <c r="B82" s="4"/>
      <c r="C82" s="4"/>
      <c r="D82" s="7"/>
      <c r="E82" s="5" t="str">
        <f aca="false">IF($A82="","",SUMIFS(Movements!$D$5:$D$304,Movements!$C$5:$C$304,$A82,Movements!$B$5:$B$304,"Sell"))</f>
        <v/>
      </c>
      <c r="F82" s="5" t="str">
        <f aca="false">IF($A82="","",_xlfn.MINIFS(Recipes!$J$5:$J$104,Recipes!$A$5:$A$104,$A82,Recipes!$B$5:$B$104,"C"))</f>
        <v/>
      </c>
      <c r="G82" s="5" t="str">
        <f aca="false">IF($A82="","",_xlfn.MINIFS(Recipes!$K$5:$K$104,Recipes!$A$5:$A$104,$A82,Recipes!$B$5:$B$104,"C"))</f>
        <v/>
      </c>
      <c r="H82" s="5" t="str">
        <f aca="false">IF($A82="","",IFERROR(INDEX(Recipes!$C$5:$C$104,MATCH($A82&amp;"|"&amp;$G82,Recipes!$L$5:$L$104,0)),""))</f>
        <v/>
      </c>
      <c r="I82" s="5" t="str">
        <f aca="false">IF($A82="","",IF(_xlfn.MAXIFS(Recipes!$N$5:$N$104,Recipes!$A$5:$A$104,$A82,Recipes!$B$5:$B$104,"C")&gt;1,"Shares parts with other kits",""))</f>
        <v/>
      </c>
      <c r="J82" s="4"/>
    </row>
    <row r="83" customFormat="false" ht="15" hidden="false" customHeight="false" outlineLevel="0" collapsed="false">
      <c r="A83" s="4"/>
      <c r="B83" s="4"/>
      <c r="C83" s="4"/>
      <c r="D83" s="7"/>
      <c r="E83" s="5" t="str">
        <f aca="false">IF($A83="","",SUMIFS(Movements!$D$5:$D$304,Movements!$C$5:$C$304,$A83,Movements!$B$5:$B$304,"Sell"))</f>
        <v/>
      </c>
      <c r="F83" s="5" t="str">
        <f aca="false">IF($A83="","",_xlfn.MINIFS(Recipes!$J$5:$J$104,Recipes!$A$5:$A$104,$A83,Recipes!$B$5:$B$104,"C"))</f>
        <v/>
      </c>
      <c r="G83" s="5" t="str">
        <f aca="false">IF($A83="","",_xlfn.MINIFS(Recipes!$K$5:$K$104,Recipes!$A$5:$A$104,$A83,Recipes!$B$5:$B$104,"C"))</f>
        <v/>
      </c>
      <c r="H83" s="5" t="str">
        <f aca="false">IF($A83="","",IFERROR(INDEX(Recipes!$C$5:$C$104,MATCH($A83&amp;"|"&amp;$G83,Recipes!$L$5:$L$104,0)),""))</f>
        <v/>
      </c>
      <c r="I83" s="5" t="str">
        <f aca="false">IF($A83="","",IF(_xlfn.MAXIFS(Recipes!$N$5:$N$104,Recipes!$A$5:$A$104,$A83,Recipes!$B$5:$B$104,"C")&gt;1,"Shares parts with other kits",""))</f>
        <v/>
      </c>
      <c r="J83" s="4"/>
    </row>
    <row r="84" customFormat="false" ht="15" hidden="false" customHeight="false" outlineLevel="0" collapsed="false">
      <c r="A84" s="4"/>
      <c r="B84" s="4"/>
      <c r="C84" s="4"/>
      <c r="D84" s="7"/>
      <c r="E84" s="5" t="str">
        <f aca="false">IF($A84="","",SUMIFS(Movements!$D$5:$D$304,Movements!$C$5:$C$304,$A84,Movements!$B$5:$B$304,"Sell"))</f>
        <v/>
      </c>
      <c r="F84" s="5" t="str">
        <f aca="false">IF($A84="","",_xlfn.MINIFS(Recipes!$J$5:$J$104,Recipes!$A$5:$A$104,$A84,Recipes!$B$5:$B$104,"C"))</f>
        <v/>
      </c>
      <c r="G84" s="5" t="str">
        <f aca="false">IF($A84="","",_xlfn.MINIFS(Recipes!$K$5:$K$104,Recipes!$A$5:$A$104,$A84,Recipes!$B$5:$B$104,"C"))</f>
        <v/>
      </c>
      <c r="H84" s="5" t="str">
        <f aca="false">IF($A84="","",IFERROR(INDEX(Recipes!$C$5:$C$104,MATCH($A84&amp;"|"&amp;$G84,Recipes!$L$5:$L$104,0)),""))</f>
        <v/>
      </c>
      <c r="I84" s="5" t="str">
        <f aca="false">IF($A84="","",IF(_xlfn.MAXIFS(Recipes!$N$5:$N$104,Recipes!$A$5:$A$104,$A84,Recipes!$B$5:$B$104,"C")&gt;1,"Shares parts with other kits",""))</f>
        <v/>
      </c>
      <c r="J84" s="4"/>
    </row>
    <row r="85" customFormat="false" ht="15" hidden="false" customHeight="false" outlineLevel="0" collapsed="false">
      <c r="A85" s="4"/>
      <c r="B85" s="4"/>
      <c r="C85" s="4"/>
      <c r="D85" s="7"/>
      <c r="E85" s="5" t="str">
        <f aca="false">IF($A85="","",SUMIFS(Movements!$D$5:$D$304,Movements!$C$5:$C$304,$A85,Movements!$B$5:$B$304,"Sell"))</f>
        <v/>
      </c>
      <c r="F85" s="5" t="str">
        <f aca="false">IF($A85="","",_xlfn.MINIFS(Recipes!$J$5:$J$104,Recipes!$A$5:$A$104,$A85,Recipes!$B$5:$B$104,"C"))</f>
        <v/>
      </c>
      <c r="G85" s="5" t="str">
        <f aca="false">IF($A85="","",_xlfn.MINIFS(Recipes!$K$5:$K$104,Recipes!$A$5:$A$104,$A85,Recipes!$B$5:$B$104,"C"))</f>
        <v/>
      </c>
      <c r="H85" s="5" t="str">
        <f aca="false">IF($A85="","",IFERROR(INDEX(Recipes!$C$5:$C$104,MATCH($A85&amp;"|"&amp;$G85,Recipes!$L$5:$L$104,0)),""))</f>
        <v/>
      </c>
      <c r="I85" s="5" t="str">
        <f aca="false">IF($A85="","",IF(_xlfn.MAXIFS(Recipes!$N$5:$N$104,Recipes!$A$5:$A$104,$A85,Recipes!$B$5:$B$104,"C")&gt;1,"Shares parts with other kits",""))</f>
        <v/>
      </c>
      <c r="J85" s="4"/>
    </row>
    <row r="86" customFormat="false" ht="15" hidden="false" customHeight="false" outlineLevel="0" collapsed="false">
      <c r="A86" s="4"/>
      <c r="B86" s="4"/>
      <c r="C86" s="4"/>
      <c r="D86" s="7"/>
      <c r="E86" s="5" t="str">
        <f aca="false">IF($A86="","",SUMIFS(Movements!$D$5:$D$304,Movements!$C$5:$C$304,$A86,Movements!$B$5:$B$304,"Sell"))</f>
        <v/>
      </c>
      <c r="F86" s="5" t="str">
        <f aca="false">IF($A86="","",_xlfn.MINIFS(Recipes!$J$5:$J$104,Recipes!$A$5:$A$104,$A86,Recipes!$B$5:$B$104,"C"))</f>
        <v/>
      </c>
      <c r="G86" s="5" t="str">
        <f aca="false">IF($A86="","",_xlfn.MINIFS(Recipes!$K$5:$K$104,Recipes!$A$5:$A$104,$A86,Recipes!$B$5:$B$104,"C"))</f>
        <v/>
      </c>
      <c r="H86" s="5" t="str">
        <f aca="false">IF($A86="","",IFERROR(INDEX(Recipes!$C$5:$C$104,MATCH($A86&amp;"|"&amp;$G86,Recipes!$L$5:$L$104,0)),""))</f>
        <v/>
      </c>
      <c r="I86" s="5" t="str">
        <f aca="false">IF($A86="","",IF(_xlfn.MAXIFS(Recipes!$N$5:$N$104,Recipes!$A$5:$A$104,$A86,Recipes!$B$5:$B$104,"C")&gt;1,"Shares parts with other kits",""))</f>
        <v/>
      </c>
      <c r="J86" s="4"/>
    </row>
    <row r="87" customFormat="false" ht="15" hidden="false" customHeight="false" outlineLevel="0" collapsed="false">
      <c r="A87" s="4"/>
      <c r="B87" s="4"/>
      <c r="C87" s="4"/>
      <c r="D87" s="7"/>
      <c r="E87" s="5" t="str">
        <f aca="false">IF($A87="","",SUMIFS(Movements!$D$5:$D$304,Movements!$C$5:$C$304,$A87,Movements!$B$5:$B$304,"Sell"))</f>
        <v/>
      </c>
      <c r="F87" s="5" t="str">
        <f aca="false">IF($A87="","",_xlfn.MINIFS(Recipes!$J$5:$J$104,Recipes!$A$5:$A$104,$A87,Recipes!$B$5:$B$104,"C"))</f>
        <v/>
      </c>
      <c r="G87" s="5" t="str">
        <f aca="false">IF($A87="","",_xlfn.MINIFS(Recipes!$K$5:$K$104,Recipes!$A$5:$A$104,$A87,Recipes!$B$5:$B$104,"C"))</f>
        <v/>
      </c>
      <c r="H87" s="5" t="str">
        <f aca="false">IF($A87="","",IFERROR(INDEX(Recipes!$C$5:$C$104,MATCH($A87&amp;"|"&amp;$G87,Recipes!$L$5:$L$104,0)),""))</f>
        <v/>
      </c>
      <c r="I87" s="5" t="str">
        <f aca="false">IF($A87="","",IF(_xlfn.MAXIFS(Recipes!$N$5:$N$104,Recipes!$A$5:$A$104,$A87,Recipes!$B$5:$B$104,"C")&gt;1,"Shares parts with other kits",""))</f>
        <v/>
      </c>
      <c r="J87" s="4"/>
    </row>
    <row r="88" customFormat="false" ht="15" hidden="false" customHeight="false" outlineLevel="0" collapsed="false">
      <c r="A88" s="4"/>
      <c r="B88" s="4"/>
      <c r="C88" s="4"/>
      <c r="D88" s="7"/>
      <c r="E88" s="5" t="str">
        <f aca="false">IF($A88="","",SUMIFS(Movements!$D$5:$D$304,Movements!$C$5:$C$304,$A88,Movements!$B$5:$B$304,"Sell"))</f>
        <v/>
      </c>
      <c r="F88" s="5" t="str">
        <f aca="false">IF($A88="","",_xlfn.MINIFS(Recipes!$J$5:$J$104,Recipes!$A$5:$A$104,$A88,Recipes!$B$5:$B$104,"C"))</f>
        <v/>
      </c>
      <c r="G88" s="5" t="str">
        <f aca="false">IF($A88="","",_xlfn.MINIFS(Recipes!$K$5:$K$104,Recipes!$A$5:$A$104,$A88,Recipes!$B$5:$B$104,"C"))</f>
        <v/>
      </c>
      <c r="H88" s="5" t="str">
        <f aca="false">IF($A88="","",IFERROR(INDEX(Recipes!$C$5:$C$104,MATCH($A88&amp;"|"&amp;$G88,Recipes!$L$5:$L$104,0)),""))</f>
        <v/>
      </c>
      <c r="I88" s="5" t="str">
        <f aca="false">IF($A88="","",IF(_xlfn.MAXIFS(Recipes!$N$5:$N$104,Recipes!$A$5:$A$104,$A88,Recipes!$B$5:$B$104,"C")&gt;1,"Shares parts with other kits",""))</f>
        <v/>
      </c>
      <c r="J88" s="4"/>
    </row>
    <row r="89" customFormat="false" ht="15" hidden="false" customHeight="false" outlineLevel="0" collapsed="false">
      <c r="A89" s="4"/>
      <c r="B89" s="4"/>
      <c r="C89" s="4"/>
      <c r="D89" s="7"/>
      <c r="E89" s="5" t="str">
        <f aca="false">IF($A89="","",SUMIFS(Movements!$D$5:$D$304,Movements!$C$5:$C$304,$A89,Movements!$B$5:$B$304,"Sell"))</f>
        <v/>
      </c>
      <c r="F89" s="5" t="str">
        <f aca="false">IF($A89="","",_xlfn.MINIFS(Recipes!$J$5:$J$104,Recipes!$A$5:$A$104,$A89,Recipes!$B$5:$B$104,"C"))</f>
        <v/>
      </c>
      <c r="G89" s="5" t="str">
        <f aca="false">IF($A89="","",_xlfn.MINIFS(Recipes!$K$5:$K$104,Recipes!$A$5:$A$104,$A89,Recipes!$B$5:$B$104,"C"))</f>
        <v/>
      </c>
      <c r="H89" s="5" t="str">
        <f aca="false">IF($A89="","",IFERROR(INDEX(Recipes!$C$5:$C$104,MATCH($A89&amp;"|"&amp;$G89,Recipes!$L$5:$L$104,0)),""))</f>
        <v/>
      </c>
      <c r="I89" s="5" t="str">
        <f aca="false">IF($A89="","",IF(_xlfn.MAXIFS(Recipes!$N$5:$N$104,Recipes!$A$5:$A$104,$A89,Recipes!$B$5:$B$104,"C")&gt;1,"Shares parts with other kits",""))</f>
        <v/>
      </c>
      <c r="J89" s="4"/>
    </row>
    <row r="90" customFormat="false" ht="15" hidden="false" customHeight="false" outlineLevel="0" collapsed="false">
      <c r="A90" s="4"/>
      <c r="B90" s="4"/>
      <c r="C90" s="4"/>
      <c r="D90" s="7"/>
      <c r="E90" s="5" t="str">
        <f aca="false">IF($A90="","",SUMIFS(Movements!$D$5:$D$304,Movements!$C$5:$C$304,$A90,Movements!$B$5:$B$304,"Sell"))</f>
        <v/>
      </c>
      <c r="F90" s="5" t="str">
        <f aca="false">IF($A90="","",_xlfn.MINIFS(Recipes!$J$5:$J$104,Recipes!$A$5:$A$104,$A90,Recipes!$B$5:$B$104,"C"))</f>
        <v/>
      </c>
      <c r="G90" s="5" t="str">
        <f aca="false">IF($A90="","",_xlfn.MINIFS(Recipes!$K$5:$K$104,Recipes!$A$5:$A$104,$A90,Recipes!$B$5:$B$104,"C"))</f>
        <v/>
      </c>
      <c r="H90" s="5" t="str">
        <f aca="false">IF($A90="","",IFERROR(INDEX(Recipes!$C$5:$C$104,MATCH($A90&amp;"|"&amp;$G90,Recipes!$L$5:$L$104,0)),""))</f>
        <v/>
      </c>
      <c r="I90" s="5" t="str">
        <f aca="false">IF($A90="","",IF(_xlfn.MAXIFS(Recipes!$N$5:$N$104,Recipes!$A$5:$A$104,$A90,Recipes!$B$5:$B$104,"C")&gt;1,"Shares parts with other kits",""))</f>
        <v/>
      </c>
      <c r="J90" s="4"/>
    </row>
    <row r="91" customFormat="false" ht="15" hidden="false" customHeight="false" outlineLevel="0" collapsed="false">
      <c r="A91" s="4"/>
      <c r="B91" s="4"/>
      <c r="C91" s="4"/>
      <c r="D91" s="7"/>
      <c r="E91" s="5" t="str">
        <f aca="false">IF($A91="","",SUMIFS(Movements!$D$5:$D$304,Movements!$C$5:$C$304,$A91,Movements!$B$5:$B$304,"Sell"))</f>
        <v/>
      </c>
      <c r="F91" s="5" t="str">
        <f aca="false">IF($A91="","",_xlfn.MINIFS(Recipes!$J$5:$J$104,Recipes!$A$5:$A$104,$A91,Recipes!$B$5:$B$104,"C"))</f>
        <v/>
      </c>
      <c r="G91" s="5" t="str">
        <f aca="false">IF($A91="","",_xlfn.MINIFS(Recipes!$K$5:$K$104,Recipes!$A$5:$A$104,$A91,Recipes!$B$5:$B$104,"C"))</f>
        <v/>
      </c>
      <c r="H91" s="5" t="str">
        <f aca="false">IF($A91="","",IFERROR(INDEX(Recipes!$C$5:$C$104,MATCH($A91&amp;"|"&amp;$G91,Recipes!$L$5:$L$104,0)),""))</f>
        <v/>
      </c>
      <c r="I91" s="5" t="str">
        <f aca="false">IF($A91="","",IF(_xlfn.MAXIFS(Recipes!$N$5:$N$104,Recipes!$A$5:$A$104,$A91,Recipes!$B$5:$B$104,"C")&gt;1,"Shares parts with other kits",""))</f>
        <v/>
      </c>
      <c r="J91" s="4"/>
    </row>
    <row r="92" customFormat="false" ht="15" hidden="false" customHeight="false" outlineLevel="0" collapsed="false">
      <c r="A92" s="4"/>
      <c r="B92" s="4"/>
      <c r="C92" s="4"/>
      <c r="D92" s="7"/>
      <c r="E92" s="5" t="str">
        <f aca="false">IF($A92="","",SUMIFS(Movements!$D$5:$D$304,Movements!$C$5:$C$304,$A92,Movements!$B$5:$B$304,"Sell"))</f>
        <v/>
      </c>
      <c r="F92" s="5" t="str">
        <f aca="false">IF($A92="","",_xlfn.MINIFS(Recipes!$J$5:$J$104,Recipes!$A$5:$A$104,$A92,Recipes!$B$5:$B$104,"C"))</f>
        <v/>
      </c>
      <c r="G92" s="5" t="str">
        <f aca="false">IF($A92="","",_xlfn.MINIFS(Recipes!$K$5:$K$104,Recipes!$A$5:$A$104,$A92,Recipes!$B$5:$B$104,"C"))</f>
        <v/>
      </c>
      <c r="H92" s="5" t="str">
        <f aca="false">IF($A92="","",IFERROR(INDEX(Recipes!$C$5:$C$104,MATCH($A92&amp;"|"&amp;$G92,Recipes!$L$5:$L$104,0)),""))</f>
        <v/>
      </c>
      <c r="I92" s="5" t="str">
        <f aca="false">IF($A92="","",IF(_xlfn.MAXIFS(Recipes!$N$5:$N$104,Recipes!$A$5:$A$104,$A92,Recipes!$B$5:$B$104,"C")&gt;1,"Shares parts with other kits",""))</f>
        <v/>
      </c>
      <c r="J92" s="4"/>
    </row>
    <row r="93" customFormat="false" ht="15" hidden="false" customHeight="false" outlineLevel="0" collapsed="false">
      <c r="A93" s="4"/>
      <c r="B93" s="4"/>
      <c r="C93" s="4"/>
      <c r="D93" s="7"/>
      <c r="E93" s="5" t="str">
        <f aca="false">IF($A93="","",SUMIFS(Movements!$D$5:$D$304,Movements!$C$5:$C$304,$A93,Movements!$B$5:$B$304,"Sell"))</f>
        <v/>
      </c>
      <c r="F93" s="5" t="str">
        <f aca="false">IF($A93="","",_xlfn.MINIFS(Recipes!$J$5:$J$104,Recipes!$A$5:$A$104,$A93,Recipes!$B$5:$B$104,"C"))</f>
        <v/>
      </c>
      <c r="G93" s="5" t="str">
        <f aca="false">IF($A93="","",_xlfn.MINIFS(Recipes!$K$5:$K$104,Recipes!$A$5:$A$104,$A93,Recipes!$B$5:$B$104,"C"))</f>
        <v/>
      </c>
      <c r="H93" s="5" t="str">
        <f aca="false">IF($A93="","",IFERROR(INDEX(Recipes!$C$5:$C$104,MATCH($A93&amp;"|"&amp;$G93,Recipes!$L$5:$L$104,0)),""))</f>
        <v/>
      </c>
      <c r="I93" s="5" t="str">
        <f aca="false">IF($A93="","",IF(_xlfn.MAXIFS(Recipes!$N$5:$N$104,Recipes!$A$5:$A$104,$A93,Recipes!$B$5:$B$104,"C")&gt;1,"Shares parts with other kits",""))</f>
        <v/>
      </c>
      <c r="J93" s="4"/>
    </row>
    <row r="94" customFormat="false" ht="15" hidden="false" customHeight="false" outlineLevel="0" collapsed="false">
      <c r="A94" s="4"/>
      <c r="B94" s="4"/>
      <c r="C94" s="4"/>
      <c r="D94" s="7"/>
      <c r="E94" s="5" t="str">
        <f aca="false">IF($A94="","",SUMIFS(Movements!$D$5:$D$304,Movements!$C$5:$C$304,$A94,Movements!$B$5:$B$304,"Sell"))</f>
        <v/>
      </c>
      <c r="F94" s="5" t="str">
        <f aca="false">IF($A94="","",_xlfn.MINIFS(Recipes!$J$5:$J$104,Recipes!$A$5:$A$104,$A94,Recipes!$B$5:$B$104,"C"))</f>
        <v/>
      </c>
      <c r="G94" s="5" t="str">
        <f aca="false">IF($A94="","",_xlfn.MINIFS(Recipes!$K$5:$K$104,Recipes!$A$5:$A$104,$A94,Recipes!$B$5:$B$104,"C"))</f>
        <v/>
      </c>
      <c r="H94" s="5" t="str">
        <f aca="false">IF($A94="","",IFERROR(INDEX(Recipes!$C$5:$C$104,MATCH($A94&amp;"|"&amp;$G94,Recipes!$L$5:$L$104,0)),""))</f>
        <v/>
      </c>
      <c r="I94" s="5" t="str">
        <f aca="false">IF($A94="","",IF(_xlfn.MAXIFS(Recipes!$N$5:$N$104,Recipes!$A$5:$A$104,$A94,Recipes!$B$5:$B$104,"C")&gt;1,"Shares parts with other kits",""))</f>
        <v/>
      </c>
      <c r="J94" s="4"/>
    </row>
    <row r="95" customFormat="false" ht="15" hidden="false" customHeight="false" outlineLevel="0" collapsed="false">
      <c r="A95" s="4"/>
      <c r="B95" s="4"/>
      <c r="C95" s="4"/>
      <c r="D95" s="7"/>
      <c r="E95" s="5" t="str">
        <f aca="false">IF($A95="","",SUMIFS(Movements!$D$5:$D$304,Movements!$C$5:$C$304,$A95,Movements!$B$5:$B$304,"Sell"))</f>
        <v/>
      </c>
      <c r="F95" s="5" t="str">
        <f aca="false">IF($A95="","",_xlfn.MINIFS(Recipes!$J$5:$J$104,Recipes!$A$5:$A$104,$A95,Recipes!$B$5:$B$104,"C"))</f>
        <v/>
      </c>
      <c r="G95" s="5" t="str">
        <f aca="false">IF($A95="","",_xlfn.MINIFS(Recipes!$K$5:$K$104,Recipes!$A$5:$A$104,$A95,Recipes!$B$5:$B$104,"C"))</f>
        <v/>
      </c>
      <c r="H95" s="5" t="str">
        <f aca="false">IF($A95="","",IFERROR(INDEX(Recipes!$C$5:$C$104,MATCH($A95&amp;"|"&amp;$G95,Recipes!$L$5:$L$104,0)),""))</f>
        <v/>
      </c>
      <c r="I95" s="5" t="str">
        <f aca="false">IF($A95="","",IF(_xlfn.MAXIFS(Recipes!$N$5:$N$104,Recipes!$A$5:$A$104,$A95,Recipes!$B$5:$B$104,"C")&gt;1,"Shares parts with other kits",""))</f>
        <v/>
      </c>
      <c r="J95" s="4"/>
    </row>
    <row r="96" customFormat="false" ht="15" hidden="false" customHeight="false" outlineLevel="0" collapsed="false">
      <c r="A96" s="4"/>
      <c r="B96" s="4"/>
      <c r="C96" s="4"/>
      <c r="D96" s="7"/>
      <c r="E96" s="5" t="str">
        <f aca="false">IF($A96="","",SUMIFS(Movements!$D$5:$D$304,Movements!$C$5:$C$304,$A96,Movements!$B$5:$B$304,"Sell"))</f>
        <v/>
      </c>
      <c r="F96" s="5" t="str">
        <f aca="false">IF($A96="","",_xlfn.MINIFS(Recipes!$J$5:$J$104,Recipes!$A$5:$A$104,$A96,Recipes!$B$5:$B$104,"C"))</f>
        <v/>
      </c>
      <c r="G96" s="5" t="str">
        <f aca="false">IF($A96="","",_xlfn.MINIFS(Recipes!$K$5:$K$104,Recipes!$A$5:$A$104,$A96,Recipes!$B$5:$B$104,"C"))</f>
        <v/>
      </c>
      <c r="H96" s="5" t="str">
        <f aca="false">IF($A96="","",IFERROR(INDEX(Recipes!$C$5:$C$104,MATCH($A96&amp;"|"&amp;$G96,Recipes!$L$5:$L$104,0)),""))</f>
        <v/>
      </c>
      <c r="I96" s="5" t="str">
        <f aca="false">IF($A96="","",IF(_xlfn.MAXIFS(Recipes!$N$5:$N$104,Recipes!$A$5:$A$104,$A96,Recipes!$B$5:$B$104,"C")&gt;1,"Shares parts with other kits",""))</f>
        <v/>
      </c>
      <c r="J96" s="4"/>
    </row>
    <row r="97" customFormat="false" ht="15" hidden="false" customHeight="false" outlineLevel="0" collapsed="false">
      <c r="A97" s="4"/>
      <c r="B97" s="4"/>
      <c r="C97" s="4"/>
      <c r="D97" s="7"/>
      <c r="E97" s="5" t="str">
        <f aca="false">IF($A97="","",SUMIFS(Movements!$D$5:$D$304,Movements!$C$5:$C$304,$A97,Movements!$B$5:$B$304,"Sell"))</f>
        <v/>
      </c>
      <c r="F97" s="5" t="str">
        <f aca="false">IF($A97="","",_xlfn.MINIFS(Recipes!$J$5:$J$104,Recipes!$A$5:$A$104,$A97,Recipes!$B$5:$B$104,"C"))</f>
        <v/>
      </c>
      <c r="G97" s="5" t="str">
        <f aca="false">IF($A97="","",_xlfn.MINIFS(Recipes!$K$5:$K$104,Recipes!$A$5:$A$104,$A97,Recipes!$B$5:$B$104,"C"))</f>
        <v/>
      </c>
      <c r="H97" s="5" t="str">
        <f aca="false">IF($A97="","",IFERROR(INDEX(Recipes!$C$5:$C$104,MATCH($A97&amp;"|"&amp;$G97,Recipes!$L$5:$L$104,0)),""))</f>
        <v/>
      </c>
      <c r="I97" s="5" t="str">
        <f aca="false">IF($A97="","",IF(_xlfn.MAXIFS(Recipes!$N$5:$N$104,Recipes!$A$5:$A$104,$A97,Recipes!$B$5:$B$104,"C")&gt;1,"Shares parts with other kits",""))</f>
        <v/>
      </c>
      <c r="J97" s="4"/>
    </row>
    <row r="98" customFormat="false" ht="15" hidden="false" customHeight="false" outlineLevel="0" collapsed="false">
      <c r="A98" s="4"/>
      <c r="B98" s="4"/>
      <c r="C98" s="4"/>
      <c r="D98" s="7"/>
      <c r="E98" s="5" t="str">
        <f aca="false">IF($A98="","",SUMIFS(Movements!$D$5:$D$304,Movements!$C$5:$C$304,$A98,Movements!$B$5:$B$304,"Sell"))</f>
        <v/>
      </c>
      <c r="F98" s="5" t="str">
        <f aca="false">IF($A98="","",_xlfn.MINIFS(Recipes!$J$5:$J$104,Recipes!$A$5:$A$104,$A98,Recipes!$B$5:$B$104,"C"))</f>
        <v/>
      </c>
      <c r="G98" s="5" t="str">
        <f aca="false">IF($A98="","",_xlfn.MINIFS(Recipes!$K$5:$K$104,Recipes!$A$5:$A$104,$A98,Recipes!$B$5:$B$104,"C"))</f>
        <v/>
      </c>
      <c r="H98" s="5" t="str">
        <f aca="false">IF($A98="","",IFERROR(INDEX(Recipes!$C$5:$C$104,MATCH($A98&amp;"|"&amp;$G98,Recipes!$L$5:$L$104,0)),""))</f>
        <v/>
      </c>
      <c r="I98" s="5" t="str">
        <f aca="false">IF($A98="","",IF(_xlfn.MAXIFS(Recipes!$N$5:$N$104,Recipes!$A$5:$A$104,$A98,Recipes!$B$5:$B$104,"C")&gt;1,"Shares parts with other kits",""))</f>
        <v/>
      </c>
      <c r="J98" s="4"/>
    </row>
    <row r="99" customFormat="false" ht="15" hidden="false" customHeight="false" outlineLevel="0" collapsed="false">
      <c r="A99" s="4"/>
      <c r="B99" s="4"/>
      <c r="C99" s="4"/>
      <c r="D99" s="7"/>
      <c r="E99" s="5" t="str">
        <f aca="false">IF($A99="","",SUMIFS(Movements!$D$5:$D$304,Movements!$C$5:$C$304,$A99,Movements!$B$5:$B$304,"Sell"))</f>
        <v/>
      </c>
      <c r="F99" s="5" t="str">
        <f aca="false">IF($A99="","",_xlfn.MINIFS(Recipes!$J$5:$J$104,Recipes!$A$5:$A$104,$A99,Recipes!$B$5:$B$104,"C"))</f>
        <v/>
      </c>
      <c r="G99" s="5" t="str">
        <f aca="false">IF($A99="","",_xlfn.MINIFS(Recipes!$K$5:$K$104,Recipes!$A$5:$A$104,$A99,Recipes!$B$5:$B$104,"C"))</f>
        <v/>
      </c>
      <c r="H99" s="5" t="str">
        <f aca="false">IF($A99="","",IFERROR(INDEX(Recipes!$C$5:$C$104,MATCH($A99&amp;"|"&amp;$G99,Recipes!$L$5:$L$104,0)),""))</f>
        <v/>
      </c>
      <c r="I99" s="5" t="str">
        <f aca="false">IF($A99="","",IF(_xlfn.MAXIFS(Recipes!$N$5:$N$104,Recipes!$A$5:$A$104,$A99,Recipes!$B$5:$B$104,"C")&gt;1,"Shares parts with other kits",""))</f>
        <v/>
      </c>
      <c r="J99" s="4"/>
    </row>
    <row r="100" customFormat="false" ht="15" hidden="false" customHeight="false" outlineLevel="0" collapsed="false">
      <c r="A100" s="4"/>
      <c r="B100" s="4"/>
      <c r="C100" s="4"/>
      <c r="D100" s="7"/>
      <c r="E100" s="5" t="str">
        <f aca="false">IF($A100="","",SUMIFS(Movements!$D$5:$D$304,Movements!$C$5:$C$304,$A100,Movements!$B$5:$B$304,"Sell"))</f>
        <v/>
      </c>
      <c r="F100" s="5" t="str">
        <f aca="false">IF($A100="","",_xlfn.MINIFS(Recipes!$J$5:$J$104,Recipes!$A$5:$A$104,$A100,Recipes!$B$5:$B$104,"C"))</f>
        <v/>
      </c>
      <c r="G100" s="5" t="str">
        <f aca="false">IF($A100="","",_xlfn.MINIFS(Recipes!$K$5:$K$104,Recipes!$A$5:$A$104,$A100,Recipes!$B$5:$B$104,"C"))</f>
        <v/>
      </c>
      <c r="H100" s="5" t="str">
        <f aca="false">IF($A100="","",IFERROR(INDEX(Recipes!$C$5:$C$104,MATCH($A100&amp;"|"&amp;$G100,Recipes!$L$5:$L$104,0)),""))</f>
        <v/>
      </c>
      <c r="I100" s="5" t="str">
        <f aca="false">IF($A100="","",IF(_xlfn.MAXIFS(Recipes!$N$5:$N$104,Recipes!$A$5:$A$104,$A100,Recipes!$B$5:$B$104,"C")&gt;1,"Shares parts with other kits",""))</f>
        <v/>
      </c>
      <c r="J100" s="4"/>
    </row>
    <row r="101" customFormat="false" ht="15" hidden="false" customHeight="false" outlineLevel="0" collapsed="false">
      <c r="A101" s="4"/>
      <c r="B101" s="4"/>
      <c r="C101" s="4"/>
      <c r="D101" s="7"/>
      <c r="E101" s="5" t="str">
        <f aca="false">IF($A101="","",SUMIFS(Movements!$D$5:$D$304,Movements!$C$5:$C$304,$A101,Movements!$B$5:$B$304,"Sell"))</f>
        <v/>
      </c>
      <c r="F101" s="5" t="str">
        <f aca="false">IF($A101="","",_xlfn.MINIFS(Recipes!$J$5:$J$104,Recipes!$A$5:$A$104,$A101,Recipes!$B$5:$B$104,"C"))</f>
        <v/>
      </c>
      <c r="G101" s="5" t="str">
        <f aca="false">IF($A101="","",_xlfn.MINIFS(Recipes!$K$5:$K$104,Recipes!$A$5:$A$104,$A101,Recipes!$B$5:$B$104,"C"))</f>
        <v/>
      </c>
      <c r="H101" s="5" t="str">
        <f aca="false">IF($A101="","",IFERROR(INDEX(Recipes!$C$5:$C$104,MATCH($A101&amp;"|"&amp;$G101,Recipes!$L$5:$L$104,0)),""))</f>
        <v/>
      </c>
      <c r="I101" s="5" t="str">
        <f aca="false">IF($A101="","",IF(_xlfn.MAXIFS(Recipes!$N$5:$N$104,Recipes!$A$5:$A$104,$A101,Recipes!$B$5:$B$104,"C")&gt;1,"Shares parts with other kits",""))</f>
        <v/>
      </c>
      <c r="J101" s="4"/>
    </row>
    <row r="102" customFormat="false" ht="15" hidden="false" customHeight="false" outlineLevel="0" collapsed="false">
      <c r="A102" s="4"/>
      <c r="B102" s="4"/>
      <c r="C102" s="4"/>
      <c r="D102" s="7"/>
      <c r="E102" s="5" t="str">
        <f aca="false">IF($A102="","",SUMIFS(Movements!$D$5:$D$304,Movements!$C$5:$C$304,$A102,Movements!$B$5:$B$304,"Sell"))</f>
        <v/>
      </c>
      <c r="F102" s="5" t="str">
        <f aca="false">IF($A102="","",_xlfn.MINIFS(Recipes!$J$5:$J$104,Recipes!$A$5:$A$104,$A102,Recipes!$B$5:$B$104,"C"))</f>
        <v/>
      </c>
      <c r="G102" s="5" t="str">
        <f aca="false">IF($A102="","",_xlfn.MINIFS(Recipes!$K$5:$K$104,Recipes!$A$5:$A$104,$A102,Recipes!$B$5:$B$104,"C"))</f>
        <v/>
      </c>
      <c r="H102" s="5" t="str">
        <f aca="false">IF($A102="","",IFERROR(INDEX(Recipes!$C$5:$C$104,MATCH($A102&amp;"|"&amp;$G102,Recipes!$L$5:$L$104,0)),""))</f>
        <v/>
      </c>
      <c r="I102" s="5" t="str">
        <f aca="false">IF($A102="","",IF(_xlfn.MAXIFS(Recipes!$N$5:$N$104,Recipes!$A$5:$A$104,$A102,Recipes!$B$5:$B$104,"C")&gt;1,"Shares parts with other kits",""))</f>
        <v/>
      </c>
      <c r="J102" s="4"/>
    </row>
    <row r="103" customFormat="false" ht="15" hidden="false" customHeight="false" outlineLevel="0" collapsed="false">
      <c r="A103" s="4"/>
      <c r="B103" s="4"/>
      <c r="C103" s="4"/>
      <c r="D103" s="7"/>
      <c r="E103" s="5" t="str">
        <f aca="false">IF($A103="","",SUMIFS(Movements!$D$5:$D$304,Movements!$C$5:$C$304,$A103,Movements!$B$5:$B$304,"Sell"))</f>
        <v/>
      </c>
      <c r="F103" s="5" t="str">
        <f aca="false">IF($A103="","",_xlfn.MINIFS(Recipes!$J$5:$J$104,Recipes!$A$5:$A$104,$A103,Recipes!$B$5:$B$104,"C"))</f>
        <v/>
      </c>
      <c r="G103" s="5" t="str">
        <f aca="false">IF($A103="","",_xlfn.MINIFS(Recipes!$K$5:$K$104,Recipes!$A$5:$A$104,$A103,Recipes!$B$5:$B$104,"C"))</f>
        <v/>
      </c>
      <c r="H103" s="5" t="str">
        <f aca="false">IF($A103="","",IFERROR(INDEX(Recipes!$C$5:$C$104,MATCH($A103&amp;"|"&amp;$G103,Recipes!$L$5:$L$104,0)),""))</f>
        <v/>
      </c>
      <c r="I103" s="5" t="str">
        <f aca="false">IF($A103="","",IF(_xlfn.MAXIFS(Recipes!$N$5:$N$104,Recipes!$A$5:$A$104,$A103,Recipes!$B$5:$B$104,"C")&gt;1,"Shares parts with other kits",""))</f>
        <v/>
      </c>
      <c r="J103" s="4"/>
    </row>
    <row r="104" customFormat="false" ht="15" hidden="false" customHeight="false" outlineLevel="0" collapsed="false">
      <c r="A104" s="4"/>
      <c r="B104" s="4"/>
      <c r="C104" s="4"/>
      <c r="D104" s="7"/>
      <c r="E104" s="5" t="str">
        <f aca="false">IF($A104="","",SUMIFS(Movements!$D$5:$D$304,Movements!$C$5:$C$304,$A104,Movements!$B$5:$B$304,"Sell"))</f>
        <v/>
      </c>
      <c r="F104" s="5" t="str">
        <f aca="false">IF($A104="","",_xlfn.MINIFS(Recipes!$J$5:$J$104,Recipes!$A$5:$A$104,$A104,Recipes!$B$5:$B$104,"C"))</f>
        <v/>
      </c>
      <c r="G104" s="5" t="str">
        <f aca="false">IF($A104="","",_xlfn.MINIFS(Recipes!$K$5:$K$104,Recipes!$A$5:$A$104,$A104,Recipes!$B$5:$B$104,"C"))</f>
        <v/>
      </c>
      <c r="H104" s="5" t="str">
        <f aca="false">IF($A104="","",IFERROR(INDEX(Recipes!$C$5:$C$104,MATCH($A104&amp;"|"&amp;$G104,Recipes!$L$5:$L$104,0)),""))</f>
        <v/>
      </c>
      <c r="I104" s="5" t="str">
        <f aca="false">IF($A104="","",IF(_xlfn.MAXIFS(Recipes!$N$5:$N$104,Recipes!$A$5:$A$104,$A104,Recipes!$B$5:$B$104,"C")&gt;1,"Shares parts with other kits",""))</f>
        <v/>
      </c>
      <c r="J104"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20"/>
    <col collapsed="false" customWidth="true" hidden="false" outlineLevel="0" max="5" min="4" style="0" width="12"/>
    <col collapsed="false" customWidth="true" hidden="false" outlineLevel="0" max="6" min="6" style="0" width="30"/>
    <col collapsed="false" customWidth="true" hidden="false" outlineLevel="0" max="7" min="7" style="0" width="11"/>
    <col collapsed="false" customWidth="true" hidden="false" outlineLevel="0" max="8" min="8" style="0" width="13"/>
    <col collapsed="false" customWidth="true" hidden="false" outlineLevel="0" max="9" min="9" style="0" width="15"/>
    <col collapsed="false" customWidth="true" hidden="false" outlineLevel="0" max="10" min="10" style="0" width="16"/>
    <col collapsed="false" customWidth="true" hidden="false" outlineLevel="0" max="11" min="11" style="0" width="15"/>
    <col collapsed="false" customWidth="true" hidden="false" outlineLevel="0" max="13" min="12" style="0" width="18"/>
    <col collapsed="false" customWidth="true" hidden="false" outlineLevel="0" max="14" min="14" style="0" width="13"/>
    <col collapsed="false" customWidth="true" hidden="false" outlineLevel="0" max="15" min="15" style="0" width="16"/>
  </cols>
  <sheetData>
    <row r="1" customFormat="false" ht="16.15" hidden="false" customHeight="false" outlineLevel="0" collapsed="false">
      <c r="A1" s="1" t="s">
        <v>61</v>
      </c>
    </row>
    <row r="2" customFormat="false" ht="25.5" hidden="false" customHeight="true" outlineLevel="0" collapsed="false">
      <c r="A2" s="2" t="s">
        <v>62</v>
      </c>
    </row>
    <row r="4" customFormat="false" ht="33.75" hidden="false" customHeight="true" outlineLevel="0" collapsed="false">
      <c r="A4" s="3" t="s">
        <v>63</v>
      </c>
      <c r="B4" s="3" t="s">
        <v>64</v>
      </c>
      <c r="C4" s="3" t="s">
        <v>65</v>
      </c>
      <c r="D4" s="3" t="s">
        <v>66</v>
      </c>
      <c r="E4" s="3" t="s">
        <v>67</v>
      </c>
      <c r="F4" s="3" t="s">
        <v>68</v>
      </c>
      <c r="G4" s="3" t="s">
        <v>69</v>
      </c>
      <c r="H4" s="3" t="s">
        <v>70</v>
      </c>
      <c r="I4" s="3" t="s">
        <v>71</v>
      </c>
      <c r="J4" s="3" t="s">
        <v>72</v>
      </c>
      <c r="K4" s="3" t="s">
        <v>73</v>
      </c>
      <c r="L4" s="3" t="s">
        <v>74</v>
      </c>
      <c r="M4" s="3" t="s">
        <v>75</v>
      </c>
      <c r="N4" s="3" t="s">
        <v>76</v>
      </c>
      <c r="O4" s="3" t="s">
        <v>77</v>
      </c>
    </row>
    <row r="5" customFormat="false" ht="15" hidden="false" customHeight="false" outlineLevel="0" collapsed="false">
      <c r="A5" s="4" t="s">
        <v>37</v>
      </c>
      <c r="B5" s="4" t="s">
        <v>78</v>
      </c>
      <c r="C5" s="4" t="s">
        <v>14</v>
      </c>
      <c r="D5" s="4" t="n">
        <v>30</v>
      </c>
      <c r="E5" s="5" t="str">
        <f aca="false">IF($C5="","",IF(ISNUMBER(MATCH($C5,'A Loose'!$A$5:$A$104,0)),"A",IF(ISNUMBER(MATCH($C5,'B Made'!$A$5:$A$104,0)),"B","?? unknown code")))</f>
        <v>A</v>
      </c>
      <c r="F5" s="5" t="str">
        <f aca="false">IF($C5="","",IFERROR(IF($E5="A",INDEX('A Loose'!$B$5:$B$104,MATCH($C5,'A Loose'!$A$5:$A$104,0)),IF($E5="B",INDEX('B Made'!$B$5:$B$104,MATCH($C5,'B Made'!$A$5:$A$104,0)),"")),""))</f>
        <v>White Balloon</v>
      </c>
      <c r="G5" s="6" t="n">
        <f aca="false">IF($A5="","",IF($B5="B",IFERROR(INDEX('B Made'!$G$5:$G$104,MATCH($A5,'B Made'!$A$5:$A$104,0)),0),IF($B5="C",IFERROR(INDEX('C Kits'!$E$5:$E$104,MATCH($A5,'C Kits'!$A$5:$A$104,0)),0),0)))</f>
        <v>22</v>
      </c>
      <c r="H5" s="5" t="n">
        <f aca="false">IF($A5="","",$D5*$G5)</f>
        <v>660</v>
      </c>
      <c r="I5" s="6" t="n">
        <f aca="false">IF($B5&lt;&gt;"B","",IFERROR(IF($D5=0,0,FLOOR(MAX(0,INDEX('A Loose'!$K$5:$K$104,MATCH($C5,'A Loose'!$A$5:$A$104,0)))/$D5,1)),0))</f>
        <v>19</v>
      </c>
      <c r="J5" s="6" t="str">
        <f aca="false">IF($B5&lt;&gt;"C","",IFERROR(IF($E5="B",IF($D5=0,0,FLOOR(MAX(0,INDEX('B Made'!$F$5:$F$104,MATCH($C5,'B Made'!$A$5:$A$104,0)))/$D5,1)),IF($O5=0,0,FLOOR(MAX(0,INDEX('A Loose'!$K$5:$K$104,MATCH($C5,'A Loose'!$A$5:$A$104,0)))/$O5,1))),0))</f>
        <v/>
      </c>
      <c r="K5" s="6" t="str">
        <f aca="false">IF($B5&lt;&gt;"C","",IFERROR(IF($E5="B",IF($D5=0,0,FLOOR(MAX(0,INDEX('B Made'!$I$5:$I$104,MATCH($C5,'B Made'!$A$5:$A$104,0)))/$D5,1)),IF($O5=0,0,FLOOR(MAX(0,INDEX('A Loose'!$K$5:$K$104,MATCH($C5,'A Loose'!$A$5:$A$104,0)))/$O5,1))),0))</f>
        <v/>
      </c>
      <c r="L5" s="6" t="str">
        <f aca="false">IF($B5&lt;&gt;"C","",$A5&amp;"|"&amp;$K5)</f>
        <v/>
      </c>
      <c r="M5" s="6" t="str">
        <f aca="false">IF($B5&lt;&gt;"B","",$A5&amp;"|"&amp;$I5)</f>
        <v>B-BOX-ONE|19</v>
      </c>
      <c r="N5" s="6" t="n">
        <f aca="false">IF($C5="","",COUNTIFS(Recipes!$C$5:$C$104,$C5,Recipes!$B$5:$B$104,"C"))</f>
        <v>1</v>
      </c>
      <c r="O5" s="6" t="str">
        <f aca="false">IF(OR($B5&lt;&gt;"C",$E5&lt;&gt;"A"),"",$D5+SUMPRODUCT((Recipes!$A$5:$A$104=$A5)*(Recipes!$B$5:$B$104="C")*(Recipes!$E$5:$E$104="B")*Recipes!$D$5:$D$104*SUMIFS(Recipes!$D$5:$D$104,Recipes!$A$5:$A$104,Recipes!$C$5:$C$104,Recipes!$B$5:$B$104,"B",Recipes!$C$5:$C$104,$C5)))</f>
        <v/>
      </c>
    </row>
    <row r="6" customFormat="false" ht="15" hidden="false" customHeight="false" outlineLevel="0" collapsed="false">
      <c r="A6" s="4" t="s">
        <v>37</v>
      </c>
      <c r="B6" s="4" t="s">
        <v>78</v>
      </c>
      <c r="C6" s="4" t="s">
        <v>18</v>
      </c>
      <c r="D6" s="4" t="n">
        <v>1</v>
      </c>
      <c r="E6" s="5" t="str">
        <f aca="false">IF($C6="","",IF(ISNUMBER(MATCH($C6,'A Loose'!$A$5:$A$104,0)),"A",IF(ISNUMBER(MATCH($C6,'B Made'!$A$5:$A$104,0)),"B","?? unknown code")))</f>
        <v>A</v>
      </c>
      <c r="F6" s="5" t="str">
        <f aca="false">IF($C6="","",IFERROR(IF($E6="A",INDEX('A Loose'!$B$5:$B$104,MATCH($C6,'A Loose'!$A$5:$A$104,0)),IF($E6="B",INDEX('B Made'!$B$5:$B$104,MATCH($C6,'B Made'!$A$5:$A$104,0)),"")),""))</f>
        <v>Gold Foil Number 1</v>
      </c>
      <c r="G6" s="6" t="n">
        <f aca="false">IF($A6="","",IF($B6="B",IFERROR(INDEX('B Made'!$G$5:$G$104,MATCH($A6,'B Made'!$A$5:$A$104,0)),0),IF($B6="C",IFERROR(INDEX('C Kits'!$E$5:$E$104,MATCH($A6,'C Kits'!$A$5:$A$104,0)),0),0)))</f>
        <v>22</v>
      </c>
      <c r="H6" s="5" t="n">
        <f aca="false">IF($A6="","",$D6*$G6)</f>
        <v>22</v>
      </c>
      <c r="I6" s="6" t="n">
        <f aca="false">IF($B6&lt;&gt;"B","",IFERROR(IF($D6=0,0,FLOOR(MAX(0,INDEX('A Loose'!$K$5:$K$104,MATCH($C6,'A Loose'!$A$5:$A$104,0)))/$D6,1)),0))</f>
        <v>38</v>
      </c>
      <c r="J6" s="6" t="str">
        <f aca="false">IF($B6&lt;&gt;"C","",IFERROR(IF($E6="B",IF($D6=0,0,FLOOR(MAX(0,INDEX('B Made'!$F$5:$F$104,MATCH($C6,'B Made'!$A$5:$A$104,0)))/$D6,1)),IF($O6=0,0,FLOOR(MAX(0,INDEX('A Loose'!$K$5:$K$104,MATCH($C6,'A Loose'!$A$5:$A$104,0)))/$O6,1))),0))</f>
        <v/>
      </c>
      <c r="K6" s="6" t="str">
        <f aca="false">IF($B6&lt;&gt;"C","",IFERROR(IF($E6="B",IF($D6=0,0,FLOOR(MAX(0,INDEX('B Made'!$I$5:$I$104,MATCH($C6,'B Made'!$A$5:$A$104,0)))/$D6,1)),IF($O6=0,0,FLOOR(MAX(0,INDEX('A Loose'!$K$5:$K$104,MATCH($C6,'A Loose'!$A$5:$A$104,0)))/$O6,1))),0))</f>
        <v/>
      </c>
      <c r="L6" s="6" t="str">
        <f aca="false">IF($B6&lt;&gt;"C","",$A6&amp;"|"&amp;$K6)</f>
        <v/>
      </c>
      <c r="M6" s="6" t="str">
        <f aca="false">IF($B6&lt;&gt;"B","",$A6&amp;"|"&amp;$I6)</f>
        <v>B-BOX-ONE|38</v>
      </c>
      <c r="N6" s="6" t="n">
        <f aca="false">IF($C6="","",COUNTIFS(Recipes!$C$5:$C$104,$C6,Recipes!$B$5:$B$104,"C"))</f>
        <v>0</v>
      </c>
      <c r="O6" s="6" t="str">
        <f aca="false">IF(OR($B6&lt;&gt;"C",$E6&lt;&gt;"A"),"",$D6+SUMPRODUCT((Recipes!$A$5:$A$104=$A6)*(Recipes!$B$5:$B$104="C")*(Recipes!$E$5:$E$104="B")*Recipes!$D$5:$D$104*SUMIFS(Recipes!$D$5:$D$104,Recipes!$A$5:$A$104,Recipes!$C$5:$C$104,Recipes!$B$5:$B$104,"B",Recipes!$C$5:$C$104,$C6)))</f>
        <v/>
      </c>
    </row>
    <row r="7" customFormat="false" ht="15" hidden="false" customHeight="false" outlineLevel="0" collapsed="false">
      <c r="A7" s="4" t="s">
        <v>37</v>
      </c>
      <c r="B7" s="4" t="s">
        <v>78</v>
      </c>
      <c r="C7" s="4" t="s">
        <v>21</v>
      </c>
      <c r="D7" s="4" t="n">
        <v>1</v>
      </c>
      <c r="E7" s="5" t="str">
        <f aca="false">IF($C7="","",IF(ISNUMBER(MATCH($C7,'A Loose'!$A$5:$A$104,0)),"A",IF(ISNUMBER(MATCH($C7,'B Made'!$A$5:$A$104,0)),"B","?? unknown code")))</f>
        <v>A</v>
      </c>
      <c r="F7" s="5" t="str">
        <f aca="false">IF($C7="","",IFERROR(IF($E7="A",INDEX('A Loose'!$B$5:$B$104,MATCH($C7,'A Loose'!$A$5:$A$104,0)),IF($E7="B",INDEX('B Made'!$B$5:$B$104,MATCH($C7,'B Made'!$A$5:$A$104,0)),"")),""))</f>
        <v>Small Gift Box</v>
      </c>
      <c r="G7" s="6" t="n">
        <f aca="false">IF($A7="","",IF($B7="B",IFERROR(INDEX('B Made'!$G$5:$G$104,MATCH($A7,'B Made'!$A$5:$A$104,0)),0),IF($B7="C",IFERROR(INDEX('C Kits'!$E$5:$E$104,MATCH($A7,'C Kits'!$A$5:$A$104,0)),0),0)))</f>
        <v>22</v>
      </c>
      <c r="H7" s="5" t="n">
        <f aca="false">IF($A7="","",$D7*$G7)</f>
        <v>22</v>
      </c>
      <c r="I7" s="6" t="n">
        <f aca="false">IF($B7&lt;&gt;"B","",IFERROR(IF($D7=0,0,FLOOR(MAX(0,INDEX('A Loose'!$K$5:$K$104,MATCH($C7,'A Loose'!$A$5:$A$104,0)))/$D7,1)),0))</f>
        <v>178</v>
      </c>
      <c r="J7" s="6" t="str">
        <f aca="false">IF($B7&lt;&gt;"C","",IFERROR(IF($E7="B",IF($D7=0,0,FLOOR(MAX(0,INDEX('B Made'!$F$5:$F$104,MATCH($C7,'B Made'!$A$5:$A$104,0)))/$D7,1)),IF($O7=0,0,FLOOR(MAX(0,INDEX('A Loose'!$K$5:$K$104,MATCH($C7,'A Loose'!$A$5:$A$104,0)))/$O7,1))),0))</f>
        <v/>
      </c>
      <c r="K7" s="6" t="str">
        <f aca="false">IF($B7&lt;&gt;"C","",IFERROR(IF($E7="B",IF($D7=0,0,FLOOR(MAX(0,INDEX('B Made'!$I$5:$I$104,MATCH($C7,'B Made'!$A$5:$A$104,0)))/$D7,1)),IF($O7=0,0,FLOOR(MAX(0,INDEX('A Loose'!$K$5:$K$104,MATCH($C7,'A Loose'!$A$5:$A$104,0)))/$O7,1))),0))</f>
        <v/>
      </c>
      <c r="L7" s="6" t="str">
        <f aca="false">IF($B7&lt;&gt;"C","",$A7&amp;"|"&amp;$K7)</f>
        <v/>
      </c>
      <c r="M7" s="6" t="str">
        <f aca="false">IF($B7&lt;&gt;"B","",$A7&amp;"|"&amp;$I7)</f>
        <v>B-BOX-ONE|178</v>
      </c>
      <c r="N7" s="6" t="n">
        <f aca="false">IF($C7="","",COUNTIFS(Recipes!$C$5:$C$104,$C7,Recipes!$B$5:$B$104,"C"))</f>
        <v>0</v>
      </c>
      <c r="O7" s="6" t="str">
        <f aca="false">IF(OR($B7&lt;&gt;"C",$E7&lt;&gt;"A"),"",$D7+SUMPRODUCT((Recipes!$A$5:$A$104=$A7)*(Recipes!$B$5:$B$104="C")*(Recipes!$E$5:$E$104="B")*Recipes!$D$5:$D$104*SUMIFS(Recipes!$D$5:$D$104,Recipes!$A$5:$A$104,Recipes!$C$5:$C$104,Recipes!$B$5:$B$104,"B",Recipes!$C$5:$C$104,$C7)))</f>
        <v/>
      </c>
    </row>
    <row r="8" customFormat="false" ht="15" hidden="false" customHeight="false" outlineLevel="0" collapsed="false">
      <c r="A8" s="4" t="s">
        <v>40</v>
      </c>
      <c r="B8" s="4" t="s">
        <v>78</v>
      </c>
      <c r="C8" s="4" t="s">
        <v>23</v>
      </c>
      <c r="D8" s="4" t="n">
        <v>1</v>
      </c>
      <c r="E8" s="5" t="str">
        <f aca="false">IF($C8="","",IF(ISNUMBER(MATCH($C8,'A Loose'!$A$5:$A$104,0)),"A",IF(ISNUMBER(MATCH($C8,'B Made'!$A$5:$A$104,0)),"B","?? unknown code")))</f>
        <v>A</v>
      </c>
      <c r="F8" s="5" t="str">
        <f aca="false">IF($C8="","",IFERROR(IF($E8="A",INDEX('A Loose'!$B$5:$B$104,MATCH($C8,'A Loose'!$A$5:$A$104,0)),IF($E8="B",INDEX('B Made'!$B$5:$B$104,MATCH($C8,'B Made'!$A$5:$A$104,0)),"")),""))</f>
        <v>Happy Birthday Banner</v>
      </c>
      <c r="G8" s="6" t="n">
        <f aca="false">IF($A8="","",IF($B8="B",IFERROR(INDEX('B Made'!$G$5:$G$104,MATCH($A8,'B Made'!$A$5:$A$104,0)),0),IF($B8="C",IFERROR(INDEX('C Kits'!$E$5:$E$104,MATCH($A8,'C Kits'!$A$5:$A$104,0)),0),0)))</f>
        <v>12</v>
      </c>
      <c r="H8" s="5" t="n">
        <f aca="false">IF($A8="","",$D8*$G8)</f>
        <v>12</v>
      </c>
      <c r="I8" s="6" t="n">
        <f aca="false">IF($B8&lt;&gt;"B","",IFERROR(IF($D8=0,0,FLOOR(MAX(0,INDEX('A Loose'!$K$5:$K$104,MATCH($C8,'A Loose'!$A$5:$A$104,0)))/$D8,1)),0))</f>
        <v>138</v>
      </c>
      <c r="J8" s="6" t="str">
        <f aca="false">IF($B8&lt;&gt;"C","",IFERROR(IF($E8="B",IF($D8=0,0,FLOOR(MAX(0,INDEX('B Made'!$F$5:$F$104,MATCH($C8,'B Made'!$A$5:$A$104,0)))/$D8,1)),IF($O8=0,0,FLOOR(MAX(0,INDEX('A Loose'!$K$5:$K$104,MATCH($C8,'A Loose'!$A$5:$A$104,0)))/$O8,1))),0))</f>
        <v/>
      </c>
      <c r="K8" s="6" t="str">
        <f aca="false">IF($B8&lt;&gt;"C","",IFERROR(IF($E8="B",IF($D8=0,0,FLOOR(MAX(0,INDEX('B Made'!$I$5:$I$104,MATCH($C8,'B Made'!$A$5:$A$104,0)))/$D8,1)),IF($O8=0,0,FLOOR(MAX(0,INDEX('A Loose'!$K$5:$K$104,MATCH($C8,'A Loose'!$A$5:$A$104,0)))/$O8,1))),0))</f>
        <v/>
      </c>
      <c r="L8" s="6" t="str">
        <f aca="false">IF($B8&lt;&gt;"C","",$A8&amp;"|"&amp;$K8)</f>
        <v/>
      </c>
      <c r="M8" s="6" t="str">
        <f aca="false">IF($B8&lt;&gt;"B","",$A8&amp;"|"&amp;$I8)</f>
        <v>B-BANNER|138</v>
      </c>
      <c r="N8" s="6" t="n">
        <f aca="false">IF($C8="","",COUNTIFS(Recipes!$C$5:$C$104,$C8,Recipes!$B$5:$B$104,"C"))</f>
        <v>0</v>
      </c>
      <c r="O8" s="6" t="str">
        <f aca="false">IF(OR($B8&lt;&gt;"C",$E8&lt;&gt;"A"),"",$D8+SUMPRODUCT((Recipes!$A$5:$A$104=$A8)*(Recipes!$B$5:$B$104="C")*(Recipes!$E$5:$E$104="B")*Recipes!$D$5:$D$104*SUMIFS(Recipes!$D$5:$D$104,Recipes!$A$5:$A$104,Recipes!$C$5:$C$104,Recipes!$B$5:$B$104,"B",Recipes!$C$5:$C$104,$C8)))</f>
        <v/>
      </c>
    </row>
    <row r="9" customFormat="false" ht="15" hidden="false" customHeight="false" outlineLevel="0" collapsed="false">
      <c r="A9" s="4" t="s">
        <v>40</v>
      </c>
      <c r="B9" s="4" t="s">
        <v>78</v>
      </c>
      <c r="C9" s="4" t="s">
        <v>14</v>
      </c>
      <c r="D9" s="4" t="n">
        <v>10</v>
      </c>
      <c r="E9" s="5" t="str">
        <f aca="false">IF($C9="","",IF(ISNUMBER(MATCH($C9,'A Loose'!$A$5:$A$104,0)),"A",IF(ISNUMBER(MATCH($C9,'B Made'!$A$5:$A$104,0)),"B","?? unknown code")))</f>
        <v>A</v>
      </c>
      <c r="F9" s="5" t="str">
        <f aca="false">IF($C9="","",IFERROR(IF($E9="A",INDEX('A Loose'!$B$5:$B$104,MATCH($C9,'A Loose'!$A$5:$A$104,0)),IF($E9="B",INDEX('B Made'!$B$5:$B$104,MATCH($C9,'B Made'!$A$5:$A$104,0)),"")),""))</f>
        <v>White Balloon</v>
      </c>
      <c r="G9" s="6" t="n">
        <f aca="false">IF($A9="","",IF($B9="B",IFERROR(INDEX('B Made'!$G$5:$G$104,MATCH($A9,'B Made'!$A$5:$A$104,0)),0),IF($B9="C",IFERROR(INDEX('C Kits'!$E$5:$E$104,MATCH($A9,'C Kits'!$A$5:$A$104,0)),0),0)))</f>
        <v>12</v>
      </c>
      <c r="H9" s="5" t="n">
        <f aca="false">IF($A9="","",$D9*$G9)</f>
        <v>120</v>
      </c>
      <c r="I9" s="6" t="n">
        <f aca="false">IF($B9&lt;&gt;"B","",IFERROR(IF($D9=0,0,FLOOR(MAX(0,INDEX('A Loose'!$K$5:$K$104,MATCH($C9,'A Loose'!$A$5:$A$104,0)))/$D9,1)),0))</f>
        <v>58</v>
      </c>
      <c r="J9" s="6" t="str">
        <f aca="false">IF($B9&lt;&gt;"C","",IFERROR(IF($E9="B",IF($D9=0,0,FLOOR(MAX(0,INDEX('B Made'!$F$5:$F$104,MATCH($C9,'B Made'!$A$5:$A$104,0)))/$D9,1)),IF($O9=0,0,FLOOR(MAX(0,INDEX('A Loose'!$K$5:$K$104,MATCH($C9,'A Loose'!$A$5:$A$104,0)))/$O9,1))),0))</f>
        <v/>
      </c>
      <c r="K9" s="6" t="str">
        <f aca="false">IF($B9&lt;&gt;"C","",IFERROR(IF($E9="B",IF($D9=0,0,FLOOR(MAX(0,INDEX('B Made'!$I$5:$I$104,MATCH($C9,'B Made'!$A$5:$A$104,0)))/$D9,1)),IF($O9=0,0,FLOOR(MAX(0,INDEX('A Loose'!$K$5:$K$104,MATCH($C9,'A Loose'!$A$5:$A$104,0)))/$O9,1))),0))</f>
        <v/>
      </c>
      <c r="L9" s="6" t="str">
        <f aca="false">IF($B9&lt;&gt;"C","",$A9&amp;"|"&amp;$K9)</f>
        <v/>
      </c>
      <c r="M9" s="6" t="str">
        <f aca="false">IF($B9&lt;&gt;"B","",$A9&amp;"|"&amp;$I9)</f>
        <v>B-BANNER|58</v>
      </c>
      <c r="N9" s="6" t="n">
        <f aca="false">IF($C9="","",COUNTIFS(Recipes!$C$5:$C$104,$C9,Recipes!$B$5:$B$104,"C"))</f>
        <v>1</v>
      </c>
      <c r="O9" s="6" t="str">
        <f aca="false">IF(OR($B9&lt;&gt;"C",$E9&lt;&gt;"A"),"",$D9+SUMPRODUCT((Recipes!$A$5:$A$104=$A9)*(Recipes!$B$5:$B$104="C")*(Recipes!$E$5:$E$104="B")*Recipes!$D$5:$D$104*SUMIFS(Recipes!$D$5:$D$104,Recipes!$A$5:$A$104,Recipes!$C$5:$C$104,Recipes!$B$5:$B$104,"B",Recipes!$C$5:$C$104,$C9)))</f>
        <v/>
      </c>
    </row>
    <row r="10" customFormat="false" ht="15" hidden="false" customHeight="false" outlineLevel="0" collapsed="false">
      <c r="A10" s="4" t="s">
        <v>42</v>
      </c>
      <c r="B10" s="4" t="s">
        <v>78</v>
      </c>
      <c r="C10" s="4" t="s">
        <v>25</v>
      </c>
      <c r="D10" s="4" t="n">
        <v>1</v>
      </c>
      <c r="E10" s="5" t="str">
        <f aca="false">IF($C10="","",IF(ISNUMBER(MATCH($C10,'A Loose'!$A$5:$A$104,0)),"A",IF(ISNUMBER(MATCH($C10,'B Made'!$A$5:$A$104,0)),"B","?? unknown code")))</f>
        <v>A</v>
      </c>
      <c r="F10" s="5" t="str">
        <f aca="false">IF($C10="","",IFERROR(IF($E10="A",INDEX('A Loose'!$B$5:$B$104,MATCH($C10,'A Loose'!$A$5:$A$104,0)),IF($E10="B",INDEX('B Made'!$B$5:$B$104,MATCH($C10,'B Made'!$A$5:$A$104,0)),"")),""))</f>
        <v>Hand Pump</v>
      </c>
      <c r="G10" s="6" t="n">
        <f aca="false">IF($A10="","",IF($B10="B",IFERROR(INDEX('B Made'!$G$5:$G$104,MATCH($A10,'B Made'!$A$5:$A$104,0)),0),IF($B10="C",IFERROR(INDEX('C Kits'!$E$5:$E$104,MATCH($A10,'C Kits'!$A$5:$A$104,0)),0),0)))</f>
        <v>17</v>
      </c>
      <c r="H10" s="5" t="n">
        <f aca="false">IF($A10="","",$D10*$G10)</f>
        <v>17</v>
      </c>
      <c r="I10" s="6" t="n">
        <f aca="false">IF($B10&lt;&gt;"B","",IFERROR(IF($D10=0,0,FLOOR(MAX(0,INDEX('A Loose'!$K$5:$K$104,MATCH($C10,'A Loose'!$A$5:$A$104,0)))/$D10,1)),0))</f>
        <v>63</v>
      </c>
      <c r="J10" s="6" t="str">
        <f aca="false">IF($B10&lt;&gt;"C","",IFERROR(IF($E10="B",IF($D10=0,0,FLOOR(MAX(0,INDEX('B Made'!$F$5:$F$104,MATCH($C10,'B Made'!$A$5:$A$104,0)))/$D10,1)),IF($O10=0,0,FLOOR(MAX(0,INDEX('A Loose'!$K$5:$K$104,MATCH($C10,'A Loose'!$A$5:$A$104,0)))/$O10,1))),0))</f>
        <v/>
      </c>
      <c r="K10" s="6" t="str">
        <f aca="false">IF($B10&lt;&gt;"C","",IFERROR(IF($E10="B",IF($D10=0,0,FLOOR(MAX(0,INDEX('B Made'!$I$5:$I$104,MATCH($C10,'B Made'!$A$5:$A$104,0)))/$D10,1)),IF($O10=0,0,FLOOR(MAX(0,INDEX('A Loose'!$K$5:$K$104,MATCH($C10,'A Loose'!$A$5:$A$104,0)))/$O10,1))),0))</f>
        <v/>
      </c>
      <c r="L10" s="6" t="str">
        <f aca="false">IF($B10&lt;&gt;"C","",$A10&amp;"|"&amp;$K10)</f>
        <v/>
      </c>
      <c r="M10" s="6" t="str">
        <f aca="false">IF($B10&lt;&gt;"B","",$A10&amp;"|"&amp;$I10)</f>
        <v>B-PUMP|63</v>
      </c>
      <c r="N10" s="6" t="n">
        <f aca="false">IF($C10="","",COUNTIFS(Recipes!$C$5:$C$104,$C10,Recipes!$B$5:$B$104,"C"))</f>
        <v>0</v>
      </c>
      <c r="O10" s="6" t="str">
        <f aca="false">IF(OR($B10&lt;&gt;"C",$E10&lt;&gt;"A"),"",$D10+SUMPRODUCT((Recipes!$A$5:$A$104=$A10)*(Recipes!$B$5:$B$104="C")*(Recipes!$E$5:$E$104="B")*Recipes!$D$5:$D$104*SUMIFS(Recipes!$D$5:$D$104,Recipes!$A$5:$A$104,Recipes!$C$5:$C$104,Recipes!$B$5:$B$104,"B",Recipes!$C$5:$C$104,$C10)))</f>
        <v/>
      </c>
    </row>
    <row r="11" customFormat="false" ht="15" hidden="false" customHeight="false" outlineLevel="0" collapsed="false">
      <c r="A11" s="4" t="s">
        <v>54</v>
      </c>
      <c r="B11" s="4" t="s">
        <v>79</v>
      </c>
      <c r="C11" s="4" t="s">
        <v>37</v>
      </c>
      <c r="D11" s="4" t="n">
        <v>1</v>
      </c>
      <c r="E11" s="5" t="str">
        <f aca="false">IF($C11="","",IF(ISNUMBER(MATCH($C11,'A Loose'!$A$5:$A$104,0)),"A",IF(ISNUMBER(MATCH($C11,'B Made'!$A$5:$A$104,0)),"B","?? unknown code")))</f>
        <v>B</v>
      </c>
      <c r="F11" s="5" t="str">
        <f aca="false">IF($C11="","",IFERROR(IF($E11="A",INDEX('A Loose'!$B$5:$B$104,MATCH($C11,'A Loose'!$A$5:$A$104,0)),IF($E11="B",INDEX('B Made'!$B$5:$B$104,MATCH($C11,'B Made'!$A$5:$A$104,0)),"")),""))</f>
        <v>One Balloon Box</v>
      </c>
      <c r="G11" s="6" t="n">
        <f aca="false">IF($A11="","",IF($B11="B",IFERROR(INDEX('B Made'!$G$5:$G$104,MATCH($A11,'B Made'!$A$5:$A$104,0)),0),IF($B11="C",IFERROR(INDEX('C Kits'!$E$5:$E$104,MATCH($A11,'C Kits'!$A$5:$A$104,0)),0),0)))</f>
        <v>12</v>
      </c>
      <c r="H11" s="5" t="n">
        <f aca="false">IF($A11="","",$D11*$G11)</f>
        <v>12</v>
      </c>
      <c r="I11" s="6" t="str">
        <f aca="false">IF($B11&lt;&gt;"B","",IFERROR(IF($D11=0,0,FLOOR(MAX(0,INDEX('A Loose'!$K$5:$K$104,MATCH($C11,'A Loose'!$A$5:$A$104,0)))/$D11,1)),0))</f>
        <v/>
      </c>
      <c r="J11" s="6" t="n">
        <f aca="false">IF($B11&lt;&gt;"C","",IFERROR(IF($E11="B",IF($D11=0,0,FLOOR(MAX(0,INDEX('B Made'!$F$5:$F$104,MATCH($C11,'B Made'!$A$5:$A$104,0)))/$D11,1)),IF($O11=0,0,FLOOR(MAX(0,INDEX('A Loose'!$K$5:$K$104,MATCH($C11,'A Loose'!$A$5:$A$104,0)))/$O11,1))),0))</f>
        <v>0</v>
      </c>
      <c r="K11" s="6" t="n">
        <f aca="false">IF($B11&lt;&gt;"C","",IFERROR(IF($E11="B",IF($D11=0,0,FLOOR(MAX(0,INDEX('B Made'!$I$5:$I$104,MATCH($C11,'B Made'!$A$5:$A$104,0)))/$D11,1)),IF($O11=0,0,FLOOR(MAX(0,INDEX('A Loose'!$K$5:$K$104,MATCH($C11,'A Loose'!$A$5:$A$104,0)))/$O11,1))),0))</f>
        <v>19</v>
      </c>
      <c r="L11" s="6" t="str">
        <f aca="false">IF($B11&lt;&gt;"C","",$A11&amp;"|"&amp;$K11)</f>
        <v>C-1ST-BDAY|19</v>
      </c>
      <c r="M11" s="6" t="str">
        <f aca="false">IF($B11&lt;&gt;"B","",$A11&amp;"|"&amp;$I11)</f>
        <v/>
      </c>
      <c r="N11" s="6" t="n">
        <f aca="false">IF($C11="","",COUNTIFS(Recipes!$C$5:$C$104,$C11,Recipes!$B$5:$B$104,"C"))</f>
        <v>2</v>
      </c>
      <c r="O11" s="6" t="str">
        <f aca="false">IF(OR($B11&lt;&gt;"C",$E11&lt;&gt;"A"),"",$D11+SUMPRODUCT((Recipes!$A$5:$A$104=$A11)*(Recipes!$B$5:$B$104="C")*(Recipes!$E$5:$E$104="B")*Recipes!$D$5:$D$104*SUMIFS(Recipes!$D$5:$D$104,Recipes!$A$5:$A$104,Recipes!$C$5:$C$104,Recipes!$B$5:$B$104,"B",Recipes!$C$5:$C$104,$C11)))</f>
        <v/>
      </c>
    </row>
    <row r="12" customFormat="false" ht="15" hidden="false" customHeight="false" outlineLevel="0" collapsed="false">
      <c r="A12" s="4" t="s">
        <v>54</v>
      </c>
      <c r="B12" s="4" t="s">
        <v>79</v>
      </c>
      <c r="C12" s="4" t="s">
        <v>40</v>
      </c>
      <c r="D12" s="4" t="n">
        <v>1</v>
      </c>
      <c r="E12" s="5" t="str">
        <f aca="false">IF($C12="","",IF(ISNUMBER(MATCH($C12,'A Loose'!$A$5:$A$104,0)),"A",IF(ISNUMBER(MATCH($C12,'B Made'!$A$5:$A$104,0)),"B","?? unknown code")))</f>
        <v>B</v>
      </c>
      <c r="F12" s="5" t="str">
        <f aca="false">IF($C12="","",IFERROR(IF($E12="A",INDEX('A Loose'!$B$5:$B$104,MATCH($C12,'A Loose'!$A$5:$A$104,0)),IF($E12="B",INDEX('B Made'!$B$5:$B$104,MATCH($C12,'B Made'!$A$5:$A$104,0)),"")),""))</f>
        <v>Banner Pack</v>
      </c>
      <c r="G12" s="6" t="n">
        <f aca="false">IF($A12="","",IF($B12="B",IFERROR(INDEX('B Made'!$G$5:$G$104,MATCH($A12,'B Made'!$A$5:$A$104,0)),0),IF($B12="C",IFERROR(INDEX('C Kits'!$E$5:$E$104,MATCH($A12,'C Kits'!$A$5:$A$104,0)),0),0)))</f>
        <v>12</v>
      </c>
      <c r="H12" s="5" t="n">
        <f aca="false">IF($A12="","",$D12*$G12)</f>
        <v>12</v>
      </c>
      <c r="I12" s="6" t="str">
        <f aca="false">IF($B12&lt;&gt;"B","",IFERROR(IF($D12=0,0,FLOOR(MAX(0,INDEX('A Loose'!$K$5:$K$104,MATCH($C12,'A Loose'!$A$5:$A$104,0)))/$D12,1)),0))</f>
        <v/>
      </c>
      <c r="J12" s="6" t="n">
        <f aca="false">IF($B12&lt;&gt;"C","",IFERROR(IF($E12="B",IF($D12=0,0,FLOOR(MAX(0,INDEX('B Made'!$F$5:$F$104,MATCH($C12,'B Made'!$A$5:$A$104,0)))/$D12,1)),IF($O12=0,0,FLOOR(MAX(0,INDEX('A Loose'!$K$5:$K$104,MATCH($C12,'A Loose'!$A$5:$A$104,0)))/$O12,1))),0))</f>
        <v>0</v>
      </c>
      <c r="K12" s="6" t="n">
        <f aca="false">IF($B12&lt;&gt;"C","",IFERROR(IF($E12="B",IF($D12=0,0,FLOOR(MAX(0,INDEX('B Made'!$I$5:$I$104,MATCH($C12,'B Made'!$A$5:$A$104,0)))/$D12,1)),IF($O12=0,0,FLOOR(MAX(0,INDEX('A Loose'!$K$5:$K$104,MATCH($C12,'A Loose'!$A$5:$A$104,0)))/$O12,1))),0))</f>
        <v>58</v>
      </c>
      <c r="L12" s="6" t="str">
        <f aca="false">IF($B12&lt;&gt;"C","",$A12&amp;"|"&amp;$K12)</f>
        <v>C-1ST-BDAY|58</v>
      </c>
      <c r="M12" s="6" t="str">
        <f aca="false">IF($B12&lt;&gt;"B","",$A12&amp;"|"&amp;$I12)</f>
        <v/>
      </c>
      <c r="N12" s="6" t="n">
        <f aca="false">IF($C12="","",COUNTIFS(Recipes!$C$5:$C$104,$C12,Recipes!$B$5:$B$104,"C"))</f>
        <v>1</v>
      </c>
      <c r="O12" s="6" t="str">
        <f aca="false">IF(OR($B12&lt;&gt;"C",$E12&lt;&gt;"A"),"",$D12+SUMPRODUCT((Recipes!$A$5:$A$104=$A12)*(Recipes!$B$5:$B$104="C")*(Recipes!$E$5:$E$104="B")*Recipes!$D$5:$D$104*SUMIFS(Recipes!$D$5:$D$104,Recipes!$A$5:$A$104,Recipes!$C$5:$C$104,Recipes!$B$5:$B$104,"B",Recipes!$C$5:$C$104,$C12)))</f>
        <v/>
      </c>
    </row>
    <row r="13" customFormat="false" ht="15" hidden="false" customHeight="false" outlineLevel="0" collapsed="false">
      <c r="A13" s="4" t="s">
        <v>54</v>
      </c>
      <c r="B13" s="4" t="s">
        <v>79</v>
      </c>
      <c r="C13" s="4" t="s">
        <v>42</v>
      </c>
      <c r="D13" s="4" t="n">
        <v>1</v>
      </c>
      <c r="E13" s="5" t="str">
        <f aca="false">IF($C13="","",IF(ISNUMBER(MATCH($C13,'A Loose'!$A$5:$A$104,0)),"A",IF(ISNUMBER(MATCH($C13,'B Made'!$A$5:$A$104,0)),"B","?? unknown code")))</f>
        <v>B</v>
      </c>
      <c r="F13" s="5" t="str">
        <f aca="false">IF($C13="","",IFERROR(IF($E13="A",INDEX('A Loose'!$B$5:$B$104,MATCH($C13,'A Loose'!$A$5:$A$104,0)),IF($E13="B",INDEX('B Made'!$B$5:$B$104,MATCH($C13,'B Made'!$A$5:$A$104,0)),"")),""))</f>
        <v>Pump Pack</v>
      </c>
      <c r="G13" s="6" t="n">
        <f aca="false">IF($A13="","",IF($B13="B",IFERROR(INDEX('B Made'!$G$5:$G$104,MATCH($A13,'B Made'!$A$5:$A$104,0)),0),IF($B13="C",IFERROR(INDEX('C Kits'!$E$5:$E$104,MATCH($A13,'C Kits'!$A$5:$A$104,0)),0),0)))</f>
        <v>12</v>
      </c>
      <c r="H13" s="5" t="n">
        <f aca="false">IF($A13="","",$D13*$G13)</f>
        <v>12</v>
      </c>
      <c r="I13" s="6" t="str">
        <f aca="false">IF($B13&lt;&gt;"B","",IFERROR(IF($D13=0,0,FLOOR(MAX(0,INDEX('A Loose'!$K$5:$K$104,MATCH($C13,'A Loose'!$A$5:$A$104,0)))/$D13,1)),0))</f>
        <v/>
      </c>
      <c r="J13" s="6" t="n">
        <f aca="false">IF($B13&lt;&gt;"C","",IFERROR(IF($E13="B",IF($D13=0,0,FLOOR(MAX(0,INDEX('B Made'!$F$5:$F$104,MATCH($C13,'B Made'!$A$5:$A$104,0)))/$D13,1)),IF($O13=0,0,FLOOR(MAX(0,INDEX('A Loose'!$K$5:$K$104,MATCH($C13,'A Loose'!$A$5:$A$104,0)))/$O13,1))),0))</f>
        <v>0</v>
      </c>
      <c r="K13" s="6" t="n">
        <f aca="false">IF($B13&lt;&gt;"C","",IFERROR(IF($E13="B",IF($D13=0,0,FLOOR(MAX(0,INDEX('B Made'!$I$5:$I$104,MATCH($C13,'B Made'!$A$5:$A$104,0)))/$D13,1)),IF($O13=0,0,FLOOR(MAX(0,INDEX('A Loose'!$K$5:$K$104,MATCH($C13,'A Loose'!$A$5:$A$104,0)))/$O13,1))),0))</f>
        <v>63</v>
      </c>
      <c r="L13" s="6" t="str">
        <f aca="false">IF($B13&lt;&gt;"C","",$A13&amp;"|"&amp;$K13)</f>
        <v>C-1ST-BDAY|63</v>
      </c>
      <c r="M13" s="6" t="str">
        <f aca="false">IF($B13&lt;&gt;"B","",$A13&amp;"|"&amp;$I13)</f>
        <v/>
      </c>
      <c r="N13" s="6" t="n">
        <f aca="false">IF($C13="","",COUNTIFS(Recipes!$C$5:$C$104,$C13,Recipes!$B$5:$B$104,"C"))</f>
        <v>2</v>
      </c>
      <c r="O13" s="6" t="str">
        <f aca="false">IF(OR($B13&lt;&gt;"C",$E13&lt;&gt;"A"),"",$D13+SUMPRODUCT((Recipes!$A$5:$A$104=$A13)*(Recipes!$B$5:$B$104="C")*(Recipes!$E$5:$E$104="B")*Recipes!$D$5:$D$104*SUMIFS(Recipes!$D$5:$D$104,Recipes!$A$5:$A$104,Recipes!$C$5:$C$104,Recipes!$B$5:$B$104,"B",Recipes!$C$5:$C$104,$C13)))</f>
        <v/>
      </c>
    </row>
    <row r="14" customFormat="false" ht="15" hidden="false" customHeight="false" outlineLevel="0" collapsed="false">
      <c r="A14" s="4" t="s">
        <v>54</v>
      </c>
      <c r="B14" s="4" t="s">
        <v>79</v>
      </c>
      <c r="C14" s="4" t="s">
        <v>14</v>
      </c>
      <c r="D14" s="4" t="n">
        <v>10</v>
      </c>
      <c r="E14" s="5" t="str">
        <f aca="false">IF($C14="","",IF(ISNUMBER(MATCH($C14,'A Loose'!$A$5:$A$104,0)),"A",IF(ISNUMBER(MATCH($C14,'B Made'!$A$5:$A$104,0)),"B","?? unknown code")))</f>
        <v>A</v>
      </c>
      <c r="F14" s="5" t="str">
        <f aca="false">IF($C14="","",IFERROR(IF($E14="A",INDEX('A Loose'!$B$5:$B$104,MATCH($C14,'A Loose'!$A$5:$A$104,0)),IF($E14="B",INDEX('B Made'!$B$5:$B$104,MATCH($C14,'B Made'!$A$5:$A$104,0)),"")),""))</f>
        <v>White Balloon</v>
      </c>
      <c r="G14" s="6" t="n">
        <f aca="false">IF($A14="","",IF($B14="B",IFERROR(INDEX('B Made'!$G$5:$G$104,MATCH($A14,'B Made'!$A$5:$A$104,0)),0),IF($B14="C",IFERROR(INDEX('C Kits'!$E$5:$E$104,MATCH($A14,'C Kits'!$A$5:$A$104,0)),0),0)))</f>
        <v>12</v>
      </c>
      <c r="H14" s="5" t="n">
        <f aca="false">IF($A14="","",$D14*$G14)</f>
        <v>120</v>
      </c>
      <c r="I14" s="6" t="str">
        <f aca="false">IF($B14&lt;&gt;"B","",IFERROR(IF($D14=0,0,FLOOR(MAX(0,INDEX('A Loose'!$K$5:$K$104,MATCH($C14,'A Loose'!$A$5:$A$104,0)))/$D14,1)),0))</f>
        <v/>
      </c>
      <c r="J14" s="6" t="n">
        <f aca="false">IF($B14&lt;&gt;"C","",IFERROR(IF($E14="B",IF($D14=0,0,FLOOR(MAX(0,INDEX('B Made'!$F$5:$F$104,MATCH($C14,'B Made'!$A$5:$A$104,0)))/$D14,1)),IF($O14=0,0,FLOOR(MAX(0,INDEX('A Loose'!$K$5:$K$104,MATCH($C14,'A Loose'!$A$5:$A$104,0)))/$O14,1))),0))</f>
        <v>11</v>
      </c>
      <c r="K14" s="6" t="n">
        <f aca="false">IF($B14&lt;&gt;"C","",IFERROR(IF($E14="B",IF($D14=0,0,FLOOR(MAX(0,INDEX('B Made'!$I$5:$I$104,MATCH($C14,'B Made'!$A$5:$A$104,0)))/$D14,1)),IF($O14=0,0,FLOOR(MAX(0,INDEX('A Loose'!$K$5:$K$104,MATCH($C14,'A Loose'!$A$5:$A$104,0)))/$O14,1))),0))</f>
        <v>11</v>
      </c>
      <c r="L14" s="6" t="str">
        <f aca="false">IF($B14&lt;&gt;"C","",$A14&amp;"|"&amp;$K14)</f>
        <v>C-1ST-BDAY|11</v>
      </c>
      <c r="M14" s="6" t="str">
        <f aca="false">IF($B14&lt;&gt;"B","",$A14&amp;"|"&amp;$I14)</f>
        <v/>
      </c>
      <c r="N14" s="6" t="n">
        <f aca="false">IF($C14="","",COUNTIFS(Recipes!$C$5:$C$104,$C14,Recipes!$B$5:$B$104,"C"))</f>
        <v>1</v>
      </c>
      <c r="O14" s="6" t="n">
        <f aca="false">IF(OR($B14&lt;&gt;"C",$E14&lt;&gt;"A"),"",$D14+SUMPRODUCT((Recipes!$A$5:$A$104=$A14)*(Recipes!$B$5:$B$104="C")*(Recipes!$E$5:$E$104="B")*Recipes!$D$5:$D$104*SUMIFS(Recipes!$D$5:$D$104,Recipes!$A$5:$A$104,Recipes!$C$5:$C$104,Recipes!$B$5:$B$104,"B",Recipes!$C$5:$C$104,$C14)))</f>
        <v>50</v>
      </c>
    </row>
    <row r="15" customFormat="false" ht="15" hidden="false" customHeight="false" outlineLevel="0" collapsed="false">
      <c r="A15" s="4" t="s">
        <v>58</v>
      </c>
      <c r="B15" s="4" t="s">
        <v>79</v>
      </c>
      <c r="C15" s="4" t="s">
        <v>37</v>
      </c>
      <c r="D15" s="4" t="n">
        <v>2</v>
      </c>
      <c r="E15" s="5" t="str">
        <f aca="false">IF($C15="","",IF(ISNUMBER(MATCH($C15,'A Loose'!$A$5:$A$104,0)),"A",IF(ISNUMBER(MATCH($C15,'B Made'!$A$5:$A$104,0)),"B","?? unknown code")))</f>
        <v>B</v>
      </c>
      <c r="F15" s="5" t="str">
        <f aca="false">IF($C15="","",IFERROR(IF($E15="A",INDEX('A Loose'!$B$5:$B$104,MATCH($C15,'A Loose'!$A$5:$A$104,0)),IF($E15="B",INDEX('B Made'!$B$5:$B$104,MATCH($C15,'B Made'!$A$5:$A$104,0)),"")),""))</f>
        <v>One Balloon Box</v>
      </c>
      <c r="G15" s="6" t="n">
        <f aca="false">IF($A15="","",IF($B15="B",IFERROR(INDEX('B Made'!$G$5:$G$104,MATCH($A15,'B Made'!$A$5:$A$104,0)),0),IF($B15="C",IFERROR(INDEX('C Kits'!$E$5:$E$104,MATCH($A15,'C Kits'!$A$5:$A$104,0)),0),0)))</f>
        <v>5</v>
      </c>
      <c r="H15" s="5" t="n">
        <f aca="false">IF($A15="","",$D15*$G15)</f>
        <v>10</v>
      </c>
      <c r="I15" s="6" t="str">
        <f aca="false">IF($B15&lt;&gt;"B","",IFERROR(IF($D15=0,0,FLOOR(MAX(0,INDEX('A Loose'!$K$5:$K$104,MATCH($C15,'A Loose'!$A$5:$A$104,0)))/$D15,1)),0))</f>
        <v/>
      </c>
      <c r="J15" s="6" t="n">
        <f aca="false">IF($B15&lt;&gt;"C","",IFERROR(IF($E15="B",IF($D15=0,0,FLOOR(MAX(0,INDEX('B Made'!$F$5:$F$104,MATCH($C15,'B Made'!$A$5:$A$104,0)))/$D15,1)),IF($O15=0,0,FLOOR(MAX(0,INDEX('A Loose'!$K$5:$K$104,MATCH($C15,'A Loose'!$A$5:$A$104,0)))/$O15,1))),0))</f>
        <v>0</v>
      </c>
      <c r="K15" s="6" t="n">
        <f aca="false">IF($B15&lt;&gt;"C","",IFERROR(IF($E15="B",IF($D15=0,0,FLOOR(MAX(0,INDEX('B Made'!$I$5:$I$104,MATCH($C15,'B Made'!$A$5:$A$104,0)))/$D15,1)),IF($O15=0,0,FLOOR(MAX(0,INDEX('A Loose'!$K$5:$K$104,MATCH($C15,'A Loose'!$A$5:$A$104,0)))/$O15,1))),0))</f>
        <v>9</v>
      </c>
      <c r="L15" s="6" t="str">
        <f aca="false">IF($B15&lt;&gt;"C","",$A15&amp;"|"&amp;$K15)</f>
        <v>C-BOX-DUO|9</v>
      </c>
      <c r="M15" s="6" t="str">
        <f aca="false">IF($B15&lt;&gt;"B","",$A15&amp;"|"&amp;$I15)</f>
        <v/>
      </c>
      <c r="N15" s="6" t="n">
        <f aca="false">IF($C15="","",COUNTIFS(Recipes!$C$5:$C$104,$C15,Recipes!$B$5:$B$104,"C"))</f>
        <v>2</v>
      </c>
      <c r="O15" s="6" t="str">
        <f aca="false">IF(OR($B15&lt;&gt;"C",$E15&lt;&gt;"A"),"",$D15+SUMPRODUCT((Recipes!$A$5:$A$104=$A15)*(Recipes!$B$5:$B$104="C")*(Recipes!$E$5:$E$104="B")*Recipes!$D$5:$D$104*SUMIFS(Recipes!$D$5:$D$104,Recipes!$A$5:$A$104,Recipes!$C$5:$C$104,Recipes!$B$5:$B$104,"B",Recipes!$C$5:$C$104,$C15)))</f>
        <v/>
      </c>
    </row>
    <row r="16" customFormat="false" ht="15" hidden="false" customHeight="false" outlineLevel="0" collapsed="false">
      <c r="A16" s="4" t="s">
        <v>58</v>
      </c>
      <c r="B16" s="4" t="s">
        <v>79</v>
      </c>
      <c r="C16" s="4" t="s">
        <v>42</v>
      </c>
      <c r="D16" s="4" t="n">
        <v>1</v>
      </c>
      <c r="E16" s="5" t="str">
        <f aca="false">IF($C16="","",IF(ISNUMBER(MATCH($C16,'A Loose'!$A$5:$A$104,0)),"A",IF(ISNUMBER(MATCH($C16,'B Made'!$A$5:$A$104,0)),"B","?? unknown code")))</f>
        <v>B</v>
      </c>
      <c r="F16" s="5" t="str">
        <f aca="false">IF($C16="","",IFERROR(IF($E16="A",INDEX('A Loose'!$B$5:$B$104,MATCH($C16,'A Loose'!$A$5:$A$104,0)),IF($E16="B",INDEX('B Made'!$B$5:$B$104,MATCH($C16,'B Made'!$A$5:$A$104,0)),"")),""))</f>
        <v>Pump Pack</v>
      </c>
      <c r="G16" s="6" t="n">
        <f aca="false">IF($A16="","",IF($B16="B",IFERROR(INDEX('B Made'!$G$5:$G$104,MATCH($A16,'B Made'!$A$5:$A$104,0)),0),IF($B16="C",IFERROR(INDEX('C Kits'!$E$5:$E$104,MATCH($A16,'C Kits'!$A$5:$A$104,0)),0),0)))</f>
        <v>5</v>
      </c>
      <c r="H16" s="5" t="n">
        <f aca="false">IF($A16="","",$D16*$G16)</f>
        <v>5</v>
      </c>
      <c r="I16" s="6" t="str">
        <f aca="false">IF($B16&lt;&gt;"B","",IFERROR(IF($D16=0,0,FLOOR(MAX(0,INDEX('A Loose'!$K$5:$K$104,MATCH($C16,'A Loose'!$A$5:$A$104,0)))/$D16,1)),0))</f>
        <v/>
      </c>
      <c r="J16" s="6" t="n">
        <f aca="false">IF($B16&lt;&gt;"C","",IFERROR(IF($E16="B",IF($D16=0,0,FLOOR(MAX(0,INDEX('B Made'!$F$5:$F$104,MATCH($C16,'B Made'!$A$5:$A$104,0)))/$D16,1)),IF($O16=0,0,FLOOR(MAX(0,INDEX('A Loose'!$K$5:$K$104,MATCH($C16,'A Loose'!$A$5:$A$104,0)))/$O16,1))),0))</f>
        <v>0</v>
      </c>
      <c r="K16" s="6" t="n">
        <f aca="false">IF($B16&lt;&gt;"C","",IFERROR(IF($E16="B",IF($D16=0,0,FLOOR(MAX(0,INDEX('B Made'!$I$5:$I$104,MATCH($C16,'B Made'!$A$5:$A$104,0)))/$D16,1)),IF($O16=0,0,FLOOR(MAX(0,INDEX('A Loose'!$K$5:$K$104,MATCH($C16,'A Loose'!$A$5:$A$104,0)))/$O16,1))),0))</f>
        <v>63</v>
      </c>
      <c r="L16" s="6" t="str">
        <f aca="false">IF($B16&lt;&gt;"C","",$A16&amp;"|"&amp;$K16)</f>
        <v>C-BOX-DUO|63</v>
      </c>
      <c r="M16" s="6" t="str">
        <f aca="false">IF($B16&lt;&gt;"B","",$A16&amp;"|"&amp;$I16)</f>
        <v/>
      </c>
      <c r="N16" s="6" t="n">
        <f aca="false">IF($C16="","",COUNTIFS(Recipes!$C$5:$C$104,$C16,Recipes!$B$5:$B$104,"C"))</f>
        <v>2</v>
      </c>
      <c r="O16" s="6" t="str">
        <f aca="false">IF(OR($B16&lt;&gt;"C",$E16&lt;&gt;"A"),"",$D16+SUMPRODUCT((Recipes!$A$5:$A$104=$A16)*(Recipes!$B$5:$B$104="C")*(Recipes!$E$5:$E$104="B")*Recipes!$D$5:$D$104*SUMIFS(Recipes!$D$5:$D$104,Recipes!$A$5:$A$104,Recipes!$C$5:$C$104,Recipes!$B$5:$B$104,"B",Recipes!$C$5:$C$104,$C16)))</f>
        <v/>
      </c>
    </row>
    <row r="17" customFormat="false" ht="15" hidden="false" customHeight="false" outlineLevel="0" collapsed="false">
      <c r="A17" s="4"/>
      <c r="B17" s="4"/>
      <c r="C17" s="4"/>
      <c r="D17" s="4"/>
      <c r="E17" s="5" t="str">
        <f aca="false">IF($C17="","",IF(ISNUMBER(MATCH($C17,'A Loose'!$A$5:$A$104,0)),"A",IF(ISNUMBER(MATCH($C17,'B Made'!$A$5:$A$104,0)),"B","?? unknown code")))</f>
        <v/>
      </c>
      <c r="F17" s="5" t="str">
        <f aca="false">IF($C17="","",IFERROR(IF($E17="A",INDEX('A Loose'!$B$5:$B$104,MATCH($C17,'A Loose'!$A$5:$A$104,0)),IF($E17="B",INDEX('B Made'!$B$5:$B$104,MATCH($C17,'B Made'!$A$5:$A$104,0)),"")),""))</f>
        <v/>
      </c>
      <c r="G17" s="6" t="str">
        <f aca="false">IF($A17="","",IF($B17="B",IFERROR(INDEX('B Made'!$G$5:$G$104,MATCH($A17,'B Made'!$A$5:$A$104,0)),0),IF($B17="C",IFERROR(INDEX('C Kits'!$E$5:$E$104,MATCH($A17,'C Kits'!$A$5:$A$104,0)),0),0)))</f>
        <v/>
      </c>
      <c r="H17" s="5" t="str">
        <f aca="false">IF($A17="","",$D17*$G17)</f>
        <v/>
      </c>
      <c r="I17" s="6" t="str">
        <f aca="false">IF($B17&lt;&gt;"B","",IFERROR(IF($D17=0,0,FLOOR(MAX(0,INDEX('A Loose'!$K$5:$K$104,MATCH($C17,'A Loose'!$A$5:$A$104,0)))/$D17,1)),0))</f>
        <v/>
      </c>
      <c r="J17" s="6" t="str">
        <f aca="false">IF($B17&lt;&gt;"C","",IFERROR(IF($E17="B",IF($D17=0,0,FLOOR(MAX(0,INDEX('B Made'!$F$5:$F$104,MATCH($C17,'B Made'!$A$5:$A$104,0)))/$D17,1)),IF($O17=0,0,FLOOR(MAX(0,INDEX('A Loose'!$K$5:$K$104,MATCH($C17,'A Loose'!$A$5:$A$104,0)))/$O17,1))),0))</f>
        <v/>
      </c>
      <c r="K17" s="6" t="str">
        <f aca="false">IF($B17&lt;&gt;"C","",IFERROR(IF($E17="B",IF($D17=0,0,FLOOR(MAX(0,INDEX('B Made'!$I$5:$I$104,MATCH($C17,'B Made'!$A$5:$A$104,0)))/$D17,1)),IF($O17=0,0,FLOOR(MAX(0,INDEX('A Loose'!$K$5:$K$104,MATCH($C17,'A Loose'!$A$5:$A$104,0)))/$O17,1))),0))</f>
        <v/>
      </c>
      <c r="L17" s="6" t="str">
        <f aca="false">IF($B17&lt;&gt;"C","",$A17&amp;"|"&amp;$K17)</f>
        <v/>
      </c>
      <c r="M17" s="6" t="str">
        <f aca="false">IF($B17&lt;&gt;"B","",$A17&amp;"|"&amp;$I17)</f>
        <v/>
      </c>
      <c r="N17" s="6" t="str">
        <f aca="false">IF($C17="","",COUNTIFS(Recipes!$C$5:$C$104,$C17,Recipes!$B$5:$B$104,"C"))</f>
        <v/>
      </c>
      <c r="O17" s="6" t="str">
        <f aca="false">IF(OR($B17&lt;&gt;"C",$E17&lt;&gt;"A"),"",$D17+SUMPRODUCT((Recipes!$A$5:$A$104=$A17)*(Recipes!$B$5:$B$104="C")*(Recipes!$E$5:$E$104="B")*Recipes!$D$5:$D$104*SUMIFS(Recipes!$D$5:$D$104,Recipes!$A$5:$A$104,Recipes!$C$5:$C$104,Recipes!$B$5:$B$104,"B",Recipes!$C$5:$C$104,$C17)))</f>
        <v/>
      </c>
    </row>
    <row r="18" customFormat="false" ht="15" hidden="false" customHeight="false" outlineLevel="0" collapsed="false">
      <c r="A18" s="4"/>
      <c r="B18" s="4"/>
      <c r="C18" s="4"/>
      <c r="D18" s="4"/>
      <c r="E18" s="5" t="str">
        <f aca="false">IF($C18="","",IF(ISNUMBER(MATCH($C18,'A Loose'!$A$5:$A$104,0)),"A",IF(ISNUMBER(MATCH($C18,'B Made'!$A$5:$A$104,0)),"B","?? unknown code")))</f>
        <v/>
      </c>
      <c r="F18" s="5" t="str">
        <f aca="false">IF($C18="","",IFERROR(IF($E18="A",INDEX('A Loose'!$B$5:$B$104,MATCH($C18,'A Loose'!$A$5:$A$104,0)),IF($E18="B",INDEX('B Made'!$B$5:$B$104,MATCH($C18,'B Made'!$A$5:$A$104,0)),"")),""))</f>
        <v/>
      </c>
      <c r="G18" s="6" t="str">
        <f aca="false">IF($A18="","",IF($B18="B",IFERROR(INDEX('B Made'!$G$5:$G$104,MATCH($A18,'B Made'!$A$5:$A$104,0)),0),IF($B18="C",IFERROR(INDEX('C Kits'!$E$5:$E$104,MATCH($A18,'C Kits'!$A$5:$A$104,0)),0),0)))</f>
        <v/>
      </c>
      <c r="H18" s="5" t="str">
        <f aca="false">IF($A18="","",$D18*$G18)</f>
        <v/>
      </c>
      <c r="I18" s="6" t="str">
        <f aca="false">IF($B18&lt;&gt;"B","",IFERROR(IF($D18=0,0,FLOOR(MAX(0,INDEX('A Loose'!$K$5:$K$104,MATCH($C18,'A Loose'!$A$5:$A$104,0)))/$D18,1)),0))</f>
        <v/>
      </c>
      <c r="J18" s="6" t="str">
        <f aca="false">IF($B18&lt;&gt;"C","",IFERROR(IF($E18="B",IF($D18=0,0,FLOOR(MAX(0,INDEX('B Made'!$F$5:$F$104,MATCH($C18,'B Made'!$A$5:$A$104,0)))/$D18,1)),IF($O18=0,0,FLOOR(MAX(0,INDEX('A Loose'!$K$5:$K$104,MATCH($C18,'A Loose'!$A$5:$A$104,0)))/$O18,1))),0))</f>
        <v/>
      </c>
      <c r="K18" s="6" t="str">
        <f aca="false">IF($B18&lt;&gt;"C","",IFERROR(IF($E18="B",IF($D18=0,0,FLOOR(MAX(0,INDEX('B Made'!$I$5:$I$104,MATCH($C18,'B Made'!$A$5:$A$104,0)))/$D18,1)),IF($O18=0,0,FLOOR(MAX(0,INDEX('A Loose'!$K$5:$K$104,MATCH($C18,'A Loose'!$A$5:$A$104,0)))/$O18,1))),0))</f>
        <v/>
      </c>
      <c r="L18" s="6" t="str">
        <f aca="false">IF($B18&lt;&gt;"C","",$A18&amp;"|"&amp;$K18)</f>
        <v/>
      </c>
      <c r="M18" s="6" t="str">
        <f aca="false">IF($B18&lt;&gt;"B","",$A18&amp;"|"&amp;$I18)</f>
        <v/>
      </c>
      <c r="N18" s="6" t="str">
        <f aca="false">IF($C18="","",COUNTIFS(Recipes!$C$5:$C$104,$C18,Recipes!$B$5:$B$104,"C"))</f>
        <v/>
      </c>
      <c r="O18" s="6" t="str">
        <f aca="false">IF(OR($B18&lt;&gt;"C",$E18&lt;&gt;"A"),"",$D18+SUMPRODUCT((Recipes!$A$5:$A$104=$A18)*(Recipes!$B$5:$B$104="C")*(Recipes!$E$5:$E$104="B")*Recipes!$D$5:$D$104*SUMIFS(Recipes!$D$5:$D$104,Recipes!$A$5:$A$104,Recipes!$C$5:$C$104,Recipes!$B$5:$B$104,"B",Recipes!$C$5:$C$104,$C18)))</f>
        <v/>
      </c>
    </row>
    <row r="19" customFormat="false" ht="15" hidden="false" customHeight="false" outlineLevel="0" collapsed="false">
      <c r="A19" s="4"/>
      <c r="B19" s="4"/>
      <c r="C19" s="4"/>
      <c r="D19" s="4"/>
      <c r="E19" s="5" t="str">
        <f aca="false">IF($C19="","",IF(ISNUMBER(MATCH($C19,'A Loose'!$A$5:$A$104,0)),"A",IF(ISNUMBER(MATCH($C19,'B Made'!$A$5:$A$104,0)),"B","?? unknown code")))</f>
        <v/>
      </c>
      <c r="F19" s="5" t="str">
        <f aca="false">IF($C19="","",IFERROR(IF($E19="A",INDEX('A Loose'!$B$5:$B$104,MATCH($C19,'A Loose'!$A$5:$A$104,0)),IF($E19="B",INDEX('B Made'!$B$5:$B$104,MATCH($C19,'B Made'!$A$5:$A$104,0)),"")),""))</f>
        <v/>
      </c>
      <c r="G19" s="6" t="str">
        <f aca="false">IF($A19="","",IF($B19="B",IFERROR(INDEX('B Made'!$G$5:$G$104,MATCH($A19,'B Made'!$A$5:$A$104,0)),0),IF($B19="C",IFERROR(INDEX('C Kits'!$E$5:$E$104,MATCH($A19,'C Kits'!$A$5:$A$104,0)),0),0)))</f>
        <v/>
      </c>
      <c r="H19" s="5" t="str">
        <f aca="false">IF($A19="","",$D19*$G19)</f>
        <v/>
      </c>
      <c r="I19" s="6" t="str">
        <f aca="false">IF($B19&lt;&gt;"B","",IFERROR(IF($D19=0,0,FLOOR(MAX(0,INDEX('A Loose'!$K$5:$K$104,MATCH($C19,'A Loose'!$A$5:$A$104,0)))/$D19,1)),0))</f>
        <v/>
      </c>
      <c r="J19" s="6" t="str">
        <f aca="false">IF($B19&lt;&gt;"C","",IFERROR(IF($E19="B",IF($D19=0,0,FLOOR(MAX(0,INDEX('B Made'!$F$5:$F$104,MATCH($C19,'B Made'!$A$5:$A$104,0)))/$D19,1)),IF($O19=0,0,FLOOR(MAX(0,INDEX('A Loose'!$K$5:$K$104,MATCH($C19,'A Loose'!$A$5:$A$104,0)))/$O19,1))),0))</f>
        <v/>
      </c>
      <c r="K19" s="6" t="str">
        <f aca="false">IF($B19&lt;&gt;"C","",IFERROR(IF($E19="B",IF($D19=0,0,FLOOR(MAX(0,INDEX('B Made'!$I$5:$I$104,MATCH($C19,'B Made'!$A$5:$A$104,0)))/$D19,1)),IF($O19=0,0,FLOOR(MAX(0,INDEX('A Loose'!$K$5:$K$104,MATCH($C19,'A Loose'!$A$5:$A$104,0)))/$O19,1))),0))</f>
        <v/>
      </c>
      <c r="L19" s="6" t="str">
        <f aca="false">IF($B19&lt;&gt;"C","",$A19&amp;"|"&amp;$K19)</f>
        <v/>
      </c>
      <c r="M19" s="6" t="str">
        <f aca="false">IF($B19&lt;&gt;"B","",$A19&amp;"|"&amp;$I19)</f>
        <v/>
      </c>
      <c r="N19" s="6" t="str">
        <f aca="false">IF($C19="","",COUNTIFS(Recipes!$C$5:$C$104,$C19,Recipes!$B$5:$B$104,"C"))</f>
        <v/>
      </c>
      <c r="O19" s="6" t="str">
        <f aca="false">IF(OR($B19&lt;&gt;"C",$E19&lt;&gt;"A"),"",$D19+SUMPRODUCT((Recipes!$A$5:$A$104=$A19)*(Recipes!$B$5:$B$104="C")*(Recipes!$E$5:$E$104="B")*Recipes!$D$5:$D$104*SUMIFS(Recipes!$D$5:$D$104,Recipes!$A$5:$A$104,Recipes!$C$5:$C$104,Recipes!$B$5:$B$104,"B",Recipes!$C$5:$C$104,$C19)))</f>
        <v/>
      </c>
    </row>
    <row r="20" customFormat="false" ht="15" hidden="false" customHeight="false" outlineLevel="0" collapsed="false">
      <c r="A20" s="4"/>
      <c r="B20" s="4"/>
      <c r="C20" s="4"/>
      <c r="D20" s="4"/>
      <c r="E20" s="5" t="str">
        <f aca="false">IF($C20="","",IF(ISNUMBER(MATCH($C20,'A Loose'!$A$5:$A$104,0)),"A",IF(ISNUMBER(MATCH($C20,'B Made'!$A$5:$A$104,0)),"B","?? unknown code")))</f>
        <v/>
      </c>
      <c r="F20" s="5" t="str">
        <f aca="false">IF($C20="","",IFERROR(IF($E20="A",INDEX('A Loose'!$B$5:$B$104,MATCH($C20,'A Loose'!$A$5:$A$104,0)),IF($E20="B",INDEX('B Made'!$B$5:$B$104,MATCH($C20,'B Made'!$A$5:$A$104,0)),"")),""))</f>
        <v/>
      </c>
      <c r="G20" s="6" t="str">
        <f aca="false">IF($A20="","",IF($B20="B",IFERROR(INDEX('B Made'!$G$5:$G$104,MATCH($A20,'B Made'!$A$5:$A$104,0)),0),IF($B20="C",IFERROR(INDEX('C Kits'!$E$5:$E$104,MATCH($A20,'C Kits'!$A$5:$A$104,0)),0),0)))</f>
        <v/>
      </c>
      <c r="H20" s="5" t="str">
        <f aca="false">IF($A20="","",$D20*$G20)</f>
        <v/>
      </c>
      <c r="I20" s="6" t="str">
        <f aca="false">IF($B20&lt;&gt;"B","",IFERROR(IF($D20=0,0,FLOOR(MAX(0,INDEX('A Loose'!$K$5:$K$104,MATCH($C20,'A Loose'!$A$5:$A$104,0)))/$D20,1)),0))</f>
        <v/>
      </c>
      <c r="J20" s="6" t="str">
        <f aca="false">IF($B20&lt;&gt;"C","",IFERROR(IF($E20="B",IF($D20=0,0,FLOOR(MAX(0,INDEX('B Made'!$F$5:$F$104,MATCH($C20,'B Made'!$A$5:$A$104,0)))/$D20,1)),IF($O20=0,0,FLOOR(MAX(0,INDEX('A Loose'!$K$5:$K$104,MATCH($C20,'A Loose'!$A$5:$A$104,0)))/$O20,1))),0))</f>
        <v/>
      </c>
      <c r="K20" s="6" t="str">
        <f aca="false">IF($B20&lt;&gt;"C","",IFERROR(IF($E20="B",IF($D20=0,0,FLOOR(MAX(0,INDEX('B Made'!$I$5:$I$104,MATCH($C20,'B Made'!$A$5:$A$104,0)))/$D20,1)),IF($O20=0,0,FLOOR(MAX(0,INDEX('A Loose'!$K$5:$K$104,MATCH($C20,'A Loose'!$A$5:$A$104,0)))/$O20,1))),0))</f>
        <v/>
      </c>
      <c r="L20" s="6" t="str">
        <f aca="false">IF($B20&lt;&gt;"C","",$A20&amp;"|"&amp;$K20)</f>
        <v/>
      </c>
      <c r="M20" s="6" t="str">
        <f aca="false">IF($B20&lt;&gt;"B","",$A20&amp;"|"&amp;$I20)</f>
        <v/>
      </c>
      <c r="N20" s="6" t="str">
        <f aca="false">IF($C20="","",COUNTIFS(Recipes!$C$5:$C$104,$C20,Recipes!$B$5:$B$104,"C"))</f>
        <v/>
      </c>
      <c r="O20" s="6" t="str">
        <f aca="false">IF(OR($B20&lt;&gt;"C",$E20&lt;&gt;"A"),"",$D20+SUMPRODUCT((Recipes!$A$5:$A$104=$A20)*(Recipes!$B$5:$B$104="C")*(Recipes!$E$5:$E$104="B")*Recipes!$D$5:$D$104*SUMIFS(Recipes!$D$5:$D$104,Recipes!$A$5:$A$104,Recipes!$C$5:$C$104,Recipes!$B$5:$B$104,"B",Recipes!$C$5:$C$104,$C20)))</f>
        <v/>
      </c>
    </row>
    <row r="21" customFormat="false" ht="15" hidden="false" customHeight="false" outlineLevel="0" collapsed="false">
      <c r="A21" s="4"/>
      <c r="B21" s="4"/>
      <c r="C21" s="4"/>
      <c r="D21" s="4"/>
      <c r="E21" s="5" t="str">
        <f aca="false">IF($C21="","",IF(ISNUMBER(MATCH($C21,'A Loose'!$A$5:$A$104,0)),"A",IF(ISNUMBER(MATCH($C21,'B Made'!$A$5:$A$104,0)),"B","?? unknown code")))</f>
        <v/>
      </c>
      <c r="F21" s="5" t="str">
        <f aca="false">IF($C21="","",IFERROR(IF($E21="A",INDEX('A Loose'!$B$5:$B$104,MATCH($C21,'A Loose'!$A$5:$A$104,0)),IF($E21="B",INDEX('B Made'!$B$5:$B$104,MATCH($C21,'B Made'!$A$5:$A$104,0)),"")),""))</f>
        <v/>
      </c>
      <c r="G21" s="6" t="str">
        <f aca="false">IF($A21="","",IF($B21="B",IFERROR(INDEX('B Made'!$G$5:$G$104,MATCH($A21,'B Made'!$A$5:$A$104,0)),0),IF($B21="C",IFERROR(INDEX('C Kits'!$E$5:$E$104,MATCH($A21,'C Kits'!$A$5:$A$104,0)),0),0)))</f>
        <v/>
      </c>
      <c r="H21" s="5" t="str">
        <f aca="false">IF($A21="","",$D21*$G21)</f>
        <v/>
      </c>
      <c r="I21" s="6" t="str">
        <f aca="false">IF($B21&lt;&gt;"B","",IFERROR(IF($D21=0,0,FLOOR(MAX(0,INDEX('A Loose'!$K$5:$K$104,MATCH($C21,'A Loose'!$A$5:$A$104,0)))/$D21,1)),0))</f>
        <v/>
      </c>
      <c r="J21" s="6" t="str">
        <f aca="false">IF($B21&lt;&gt;"C","",IFERROR(IF($E21="B",IF($D21=0,0,FLOOR(MAX(0,INDEX('B Made'!$F$5:$F$104,MATCH($C21,'B Made'!$A$5:$A$104,0)))/$D21,1)),IF($O21=0,0,FLOOR(MAX(0,INDEX('A Loose'!$K$5:$K$104,MATCH($C21,'A Loose'!$A$5:$A$104,0)))/$O21,1))),0))</f>
        <v/>
      </c>
      <c r="K21" s="6" t="str">
        <f aca="false">IF($B21&lt;&gt;"C","",IFERROR(IF($E21="B",IF($D21=0,0,FLOOR(MAX(0,INDEX('B Made'!$I$5:$I$104,MATCH($C21,'B Made'!$A$5:$A$104,0)))/$D21,1)),IF($O21=0,0,FLOOR(MAX(0,INDEX('A Loose'!$K$5:$K$104,MATCH($C21,'A Loose'!$A$5:$A$104,0)))/$O21,1))),0))</f>
        <v/>
      </c>
      <c r="L21" s="6" t="str">
        <f aca="false">IF($B21&lt;&gt;"C","",$A21&amp;"|"&amp;$K21)</f>
        <v/>
      </c>
      <c r="M21" s="6" t="str">
        <f aca="false">IF($B21&lt;&gt;"B","",$A21&amp;"|"&amp;$I21)</f>
        <v/>
      </c>
      <c r="N21" s="6" t="str">
        <f aca="false">IF($C21="","",COUNTIFS(Recipes!$C$5:$C$104,$C21,Recipes!$B$5:$B$104,"C"))</f>
        <v/>
      </c>
      <c r="O21" s="6" t="str">
        <f aca="false">IF(OR($B21&lt;&gt;"C",$E21&lt;&gt;"A"),"",$D21+SUMPRODUCT((Recipes!$A$5:$A$104=$A21)*(Recipes!$B$5:$B$104="C")*(Recipes!$E$5:$E$104="B")*Recipes!$D$5:$D$104*SUMIFS(Recipes!$D$5:$D$104,Recipes!$A$5:$A$104,Recipes!$C$5:$C$104,Recipes!$B$5:$B$104,"B",Recipes!$C$5:$C$104,$C21)))</f>
        <v/>
      </c>
    </row>
    <row r="22" customFormat="false" ht="15" hidden="false" customHeight="false" outlineLevel="0" collapsed="false">
      <c r="A22" s="4"/>
      <c r="B22" s="4"/>
      <c r="C22" s="4"/>
      <c r="D22" s="4"/>
      <c r="E22" s="5" t="str">
        <f aca="false">IF($C22="","",IF(ISNUMBER(MATCH($C22,'A Loose'!$A$5:$A$104,0)),"A",IF(ISNUMBER(MATCH($C22,'B Made'!$A$5:$A$104,0)),"B","?? unknown code")))</f>
        <v/>
      </c>
      <c r="F22" s="5" t="str">
        <f aca="false">IF($C22="","",IFERROR(IF($E22="A",INDEX('A Loose'!$B$5:$B$104,MATCH($C22,'A Loose'!$A$5:$A$104,0)),IF($E22="B",INDEX('B Made'!$B$5:$B$104,MATCH($C22,'B Made'!$A$5:$A$104,0)),"")),""))</f>
        <v/>
      </c>
      <c r="G22" s="6" t="str">
        <f aca="false">IF($A22="","",IF($B22="B",IFERROR(INDEX('B Made'!$G$5:$G$104,MATCH($A22,'B Made'!$A$5:$A$104,0)),0),IF($B22="C",IFERROR(INDEX('C Kits'!$E$5:$E$104,MATCH($A22,'C Kits'!$A$5:$A$104,0)),0),0)))</f>
        <v/>
      </c>
      <c r="H22" s="5" t="str">
        <f aca="false">IF($A22="","",$D22*$G22)</f>
        <v/>
      </c>
      <c r="I22" s="6" t="str">
        <f aca="false">IF($B22&lt;&gt;"B","",IFERROR(IF($D22=0,0,FLOOR(MAX(0,INDEX('A Loose'!$K$5:$K$104,MATCH($C22,'A Loose'!$A$5:$A$104,0)))/$D22,1)),0))</f>
        <v/>
      </c>
      <c r="J22" s="6" t="str">
        <f aca="false">IF($B22&lt;&gt;"C","",IFERROR(IF($E22="B",IF($D22=0,0,FLOOR(MAX(0,INDEX('B Made'!$F$5:$F$104,MATCH($C22,'B Made'!$A$5:$A$104,0)))/$D22,1)),IF($O22=0,0,FLOOR(MAX(0,INDEX('A Loose'!$K$5:$K$104,MATCH($C22,'A Loose'!$A$5:$A$104,0)))/$O22,1))),0))</f>
        <v/>
      </c>
      <c r="K22" s="6" t="str">
        <f aca="false">IF($B22&lt;&gt;"C","",IFERROR(IF($E22="B",IF($D22=0,0,FLOOR(MAX(0,INDEX('B Made'!$I$5:$I$104,MATCH($C22,'B Made'!$A$5:$A$104,0)))/$D22,1)),IF($O22=0,0,FLOOR(MAX(0,INDEX('A Loose'!$K$5:$K$104,MATCH($C22,'A Loose'!$A$5:$A$104,0)))/$O22,1))),0))</f>
        <v/>
      </c>
      <c r="L22" s="6" t="str">
        <f aca="false">IF($B22&lt;&gt;"C","",$A22&amp;"|"&amp;$K22)</f>
        <v/>
      </c>
      <c r="M22" s="6" t="str">
        <f aca="false">IF($B22&lt;&gt;"B","",$A22&amp;"|"&amp;$I22)</f>
        <v/>
      </c>
      <c r="N22" s="6" t="str">
        <f aca="false">IF($C22="","",COUNTIFS(Recipes!$C$5:$C$104,$C22,Recipes!$B$5:$B$104,"C"))</f>
        <v/>
      </c>
      <c r="O22" s="6" t="str">
        <f aca="false">IF(OR($B22&lt;&gt;"C",$E22&lt;&gt;"A"),"",$D22+SUMPRODUCT((Recipes!$A$5:$A$104=$A22)*(Recipes!$B$5:$B$104="C")*(Recipes!$E$5:$E$104="B")*Recipes!$D$5:$D$104*SUMIFS(Recipes!$D$5:$D$104,Recipes!$A$5:$A$104,Recipes!$C$5:$C$104,Recipes!$B$5:$B$104,"B",Recipes!$C$5:$C$104,$C22)))</f>
        <v/>
      </c>
    </row>
    <row r="23" customFormat="false" ht="15" hidden="false" customHeight="false" outlineLevel="0" collapsed="false">
      <c r="A23" s="4"/>
      <c r="B23" s="4"/>
      <c r="C23" s="4"/>
      <c r="D23" s="4"/>
      <c r="E23" s="5" t="str">
        <f aca="false">IF($C23="","",IF(ISNUMBER(MATCH($C23,'A Loose'!$A$5:$A$104,0)),"A",IF(ISNUMBER(MATCH($C23,'B Made'!$A$5:$A$104,0)),"B","?? unknown code")))</f>
        <v/>
      </c>
      <c r="F23" s="5" t="str">
        <f aca="false">IF($C23="","",IFERROR(IF($E23="A",INDEX('A Loose'!$B$5:$B$104,MATCH($C23,'A Loose'!$A$5:$A$104,0)),IF($E23="B",INDEX('B Made'!$B$5:$B$104,MATCH($C23,'B Made'!$A$5:$A$104,0)),"")),""))</f>
        <v/>
      </c>
      <c r="G23" s="6" t="str">
        <f aca="false">IF($A23="","",IF($B23="B",IFERROR(INDEX('B Made'!$G$5:$G$104,MATCH($A23,'B Made'!$A$5:$A$104,0)),0),IF($B23="C",IFERROR(INDEX('C Kits'!$E$5:$E$104,MATCH($A23,'C Kits'!$A$5:$A$104,0)),0),0)))</f>
        <v/>
      </c>
      <c r="H23" s="5" t="str">
        <f aca="false">IF($A23="","",$D23*$G23)</f>
        <v/>
      </c>
      <c r="I23" s="6" t="str">
        <f aca="false">IF($B23&lt;&gt;"B","",IFERROR(IF($D23=0,0,FLOOR(MAX(0,INDEX('A Loose'!$K$5:$K$104,MATCH($C23,'A Loose'!$A$5:$A$104,0)))/$D23,1)),0))</f>
        <v/>
      </c>
      <c r="J23" s="6" t="str">
        <f aca="false">IF($B23&lt;&gt;"C","",IFERROR(IF($E23="B",IF($D23=0,0,FLOOR(MAX(0,INDEX('B Made'!$F$5:$F$104,MATCH($C23,'B Made'!$A$5:$A$104,0)))/$D23,1)),IF($O23=0,0,FLOOR(MAX(0,INDEX('A Loose'!$K$5:$K$104,MATCH($C23,'A Loose'!$A$5:$A$104,0)))/$O23,1))),0))</f>
        <v/>
      </c>
      <c r="K23" s="6" t="str">
        <f aca="false">IF($B23&lt;&gt;"C","",IFERROR(IF($E23="B",IF($D23=0,0,FLOOR(MAX(0,INDEX('B Made'!$I$5:$I$104,MATCH($C23,'B Made'!$A$5:$A$104,0)))/$D23,1)),IF($O23=0,0,FLOOR(MAX(0,INDEX('A Loose'!$K$5:$K$104,MATCH($C23,'A Loose'!$A$5:$A$104,0)))/$O23,1))),0))</f>
        <v/>
      </c>
      <c r="L23" s="6" t="str">
        <f aca="false">IF($B23&lt;&gt;"C","",$A23&amp;"|"&amp;$K23)</f>
        <v/>
      </c>
      <c r="M23" s="6" t="str">
        <f aca="false">IF($B23&lt;&gt;"B","",$A23&amp;"|"&amp;$I23)</f>
        <v/>
      </c>
      <c r="N23" s="6" t="str">
        <f aca="false">IF($C23="","",COUNTIFS(Recipes!$C$5:$C$104,$C23,Recipes!$B$5:$B$104,"C"))</f>
        <v/>
      </c>
      <c r="O23" s="6" t="str">
        <f aca="false">IF(OR($B23&lt;&gt;"C",$E23&lt;&gt;"A"),"",$D23+SUMPRODUCT((Recipes!$A$5:$A$104=$A23)*(Recipes!$B$5:$B$104="C")*(Recipes!$E$5:$E$104="B")*Recipes!$D$5:$D$104*SUMIFS(Recipes!$D$5:$D$104,Recipes!$A$5:$A$104,Recipes!$C$5:$C$104,Recipes!$B$5:$B$104,"B",Recipes!$C$5:$C$104,$C23)))</f>
        <v/>
      </c>
    </row>
    <row r="24" customFormat="false" ht="15" hidden="false" customHeight="false" outlineLevel="0" collapsed="false">
      <c r="A24" s="4"/>
      <c r="B24" s="4"/>
      <c r="C24" s="4"/>
      <c r="D24" s="4"/>
      <c r="E24" s="5" t="str">
        <f aca="false">IF($C24="","",IF(ISNUMBER(MATCH($C24,'A Loose'!$A$5:$A$104,0)),"A",IF(ISNUMBER(MATCH($C24,'B Made'!$A$5:$A$104,0)),"B","?? unknown code")))</f>
        <v/>
      </c>
      <c r="F24" s="5" t="str">
        <f aca="false">IF($C24="","",IFERROR(IF($E24="A",INDEX('A Loose'!$B$5:$B$104,MATCH($C24,'A Loose'!$A$5:$A$104,0)),IF($E24="B",INDEX('B Made'!$B$5:$B$104,MATCH($C24,'B Made'!$A$5:$A$104,0)),"")),""))</f>
        <v/>
      </c>
      <c r="G24" s="6" t="str">
        <f aca="false">IF($A24="","",IF($B24="B",IFERROR(INDEX('B Made'!$G$5:$G$104,MATCH($A24,'B Made'!$A$5:$A$104,0)),0),IF($B24="C",IFERROR(INDEX('C Kits'!$E$5:$E$104,MATCH($A24,'C Kits'!$A$5:$A$104,0)),0),0)))</f>
        <v/>
      </c>
      <c r="H24" s="5" t="str">
        <f aca="false">IF($A24="","",$D24*$G24)</f>
        <v/>
      </c>
      <c r="I24" s="6" t="str">
        <f aca="false">IF($B24&lt;&gt;"B","",IFERROR(IF($D24=0,0,FLOOR(MAX(0,INDEX('A Loose'!$K$5:$K$104,MATCH($C24,'A Loose'!$A$5:$A$104,0)))/$D24,1)),0))</f>
        <v/>
      </c>
      <c r="J24" s="6" t="str">
        <f aca="false">IF($B24&lt;&gt;"C","",IFERROR(IF($E24="B",IF($D24=0,0,FLOOR(MAX(0,INDEX('B Made'!$F$5:$F$104,MATCH($C24,'B Made'!$A$5:$A$104,0)))/$D24,1)),IF($O24=0,0,FLOOR(MAX(0,INDEX('A Loose'!$K$5:$K$104,MATCH($C24,'A Loose'!$A$5:$A$104,0)))/$O24,1))),0))</f>
        <v/>
      </c>
      <c r="K24" s="6" t="str">
        <f aca="false">IF($B24&lt;&gt;"C","",IFERROR(IF($E24="B",IF($D24=0,0,FLOOR(MAX(0,INDEX('B Made'!$I$5:$I$104,MATCH($C24,'B Made'!$A$5:$A$104,0)))/$D24,1)),IF($O24=0,0,FLOOR(MAX(0,INDEX('A Loose'!$K$5:$K$104,MATCH($C24,'A Loose'!$A$5:$A$104,0)))/$O24,1))),0))</f>
        <v/>
      </c>
      <c r="L24" s="6" t="str">
        <f aca="false">IF($B24&lt;&gt;"C","",$A24&amp;"|"&amp;$K24)</f>
        <v/>
      </c>
      <c r="M24" s="6" t="str">
        <f aca="false">IF($B24&lt;&gt;"B","",$A24&amp;"|"&amp;$I24)</f>
        <v/>
      </c>
      <c r="N24" s="6" t="str">
        <f aca="false">IF($C24="","",COUNTIFS(Recipes!$C$5:$C$104,$C24,Recipes!$B$5:$B$104,"C"))</f>
        <v/>
      </c>
      <c r="O24" s="6" t="str">
        <f aca="false">IF(OR($B24&lt;&gt;"C",$E24&lt;&gt;"A"),"",$D24+SUMPRODUCT((Recipes!$A$5:$A$104=$A24)*(Recipes!$B$5:$B$104="C")*(Recipes!$E$5:$E$104="B")*Recipes!$D$5:$D$104*SUMIFS(Recipes!$D$5:$D$104,Recipes!$A$5:$A$104,Recipes!$C$5:$C$104,Recipes!$B$5:$B$104,"B",Recipes!$C$5:$C$104,$C24)))</f>
        <v/>
      </c>
    </row>
    <row r="25" customFormat="false" ht="15" hidden="false" customHeight="false" outlineLevel="0" collapsed="false">
      <c r="A25" s="4"/>
      <c r="B25" s="4"/>
      <c r="C25" s="4"/>
      <c r="D25" s="4"/>
      <c r="E25" s="5" t="str">
        <f aca="false">IF($C25="","",IF(ISNUMBER(MATCH($C25,'A Loose'!$A$5:$A$104,0)),"A",IF(ISNUMBER(MATCH($C25,'B Made'!$A$5:$A$104,0)),"B","?? unknown code")))</f>
        <v/>
      </c>
      <c r="F25" s="5" t="str">
        <f aca="false">IF($C25="","",IFERROR(IF($E25="A",INDEX('A Loose'!$B$5:$B$104,MATCH($C25,'A Loose'!$A$5:$A$104,0)),IF($E25="B",INDEX('B Made'!$B$5:$B$104,MATCH($C25,'B Made'!$A$5:$A$104,0)),"")),""))</f>
        <v/>
      </c>
      <c r="G25" s="6" t="str">
        <f aca="false">IF($A25="","",IF($B25="B",IFERROR(INDEX('B Made'!$G$5:$G$104,MATCH($A25,'B Made'!$A$5:$A$104,0)),0),IF($B25="C",IFERROR(INDEX('C Kits'!$E$5:$E$104,MATCH($A25,'C Kits'!$A$5:$A$104,0)),0),0)))</f>
        <v/>
      </c>
      <c r="H25" s="5" t="str">
        <f aca="false">IF($A25="","",$D25*$G25)</f>
        <v/>
      </c>
      <c r="I25" s="6" t="str">
        <f aca="false">IF($B25&lt;&gt;"B","",IFERROR(IF($D25=0,0,FLOOR(MAX(0,INDEX('A Loose'!$K$5:$K$104,MATCH($C25,'A Loose'!$A$5:$A$104,0)))/$D25,1)),0))</f>
        <v/>
      </c>
      <c r="J25" s="6" t="str">
        <f aca="false">IF($B25&lt;&gt;"C","",IFERROR(IF($E25="B",IF($D25=0,0,FLOOR(MAX(0,INDEX('B Made'!$F$5:$F$104,MATCH($C25,'B Made'!$A$5:$A$104,0)))/$D25,1)),IF($O25=0,0,FLOOR(MAX(0,INDEX('A Loose'!$K$5:$K$104,MATCH($C25,'A Loose'!$A$5:$A$104,0)))/$O25,1))),0))</f>
        <v/>
      </c>
      <c r="K25" s="6" t="str">
        <f aca="false">IF($B25&lt;&gt;"C","",IFERROR(IF($E25="B",IF($D25=0,0,FLOOR(MAX(0,INDEX('B Made'!$I$5:$I$104,MATCH($C25,'B Made'!$A$5:$A$104,0)))/$D25,1)),IF($O25=0,0,FLOOR(MAX(0,INDEX('A Loose'!$K$5:$K$104,MATCH($C25,'A Loose'!$A$5:$A$104,0)))/$O25,1))),0))</f>
        <v/>
      </c>
      <c r="L25" s="6" t="str">
        <f aca="false">IF($B25&lt;&gt;"C","",$A25&amp;"|"&amp;$K25)</f>
        <v/>
      </c>
      <c r="M25" s="6" t="str">
        <f aca="false">IF($B25&lt;&gt;"B","",$A25&amp;"|"&amp;$I25)</f>
        <v/>
      </c>
      <c r="N25" s="6" t="str">
        <f aca="false">IF($C25="","",COUNTIFS(Recipes!$C$5:$C$104,$C25,Recipes!$B$5:$B$104,"C"))</f>
        <v/>
      </c>
      <c r="O25" s="6" t="str">
        <f aca="false">IF(OR($B25&lt;&gt;"C",$E25&lt;&gt;"A"),"",$D25+SUMPRODUCT((Recipes!$A$5:$A$104=$A25)*(Recipes!$B$5:$B$104="C")*(Recipes!$E$5:$E$104="B")*Recipes!$D$5:$D$104*SUMIFS(Recipes!$D$5:$D$104,Recipes!$A$5:$A$104,Recipes!$C$5:$C$104,Recipes!$B$5:$B$104,"B",Recipes!$C$5:$C$104,$C25)))</f>
        <v/>
      </c>
    </row>
    <row r="26" customFormat="false" ht="15" hidden="false" customHeight="false" outlineLevel="0" collapsed="false">
      <c r="A26" s="4"/>
      <c r="B26" s="4"/>
      <c r="C26" s="4"/>
      <c r="D26" s="4"/>
      <c r="E26" s="5" t="str">
        <f aca="false">IF($C26="","",IF(ISNUMBER(MATCH($C26,'A Loose'!$A$5:$A$104,0)),"A",IF(ISNUMBER(MATCH($C26,'B Made'!$A$5:$A$104,0)),"B","?? unknown code")))</f>
        <v/>
      </c>
      <c r="F26" s="5" t="str">
        <f aca="false">IF($C26="","",IFERROR(IF($E26="A",INDEX('A Loose'!$B$5:$B$104,MATCH($C26,'A Loose'!$A$5:$A$104,0)),IF($E26="B",INDEX('B Made'!$B$5:$B$104,MATCH($C26,'B Made'!$A$5:$A$104,0)),"")),""))</f>
        <v/>
      </c>
      <c r="G26" s="6" t="str">
        <f aca="false">IF($A26="","",IF($B26="B",IFERROR(INDEX('B Made'!$G$5:$G$104,MATCH($A26,'B Made'!$A$5:$A$104,0)),0),IF($B26="C",IFERROR(INDEX('C Kits'!$E$5:$E$104,MATCH($A26,'C Kits'!$A$5:$A$104,0)),0),0)))</f>
        <v/>
      </c>
      <c r="H26" s="5" t="str">
        <f aca="false">IF($A26="","",$D26*$G26)</f>
        <v/>
      </c>
      <c r="I26" s="6" t="str">
        <f aca="false">IF($B26&lt;&gt;"B","",IFERROR(IF($D26=0,0,FLOOR(MAX(0,INDEX('A Loose'!$K$5:$K$104,MATCH($C26,'A Loose'!$A$5:$A$104,0)))/$D26,1)),0))</f>
        <v/>
      </c>
      <c r="J26" s="6" t="str">
        <f aca="false">IF($B26&lt;&gt;"C","",IFERROR(IF($E26="B",IF($D26=0,0,FLOOR(MAX(0,INDEX('B Made'!$F$5:$F$104,MATCH($C26,'B Made'!$A$5:$A$104,0)))/$D26,1)),IF($O26=0,0,FLOOR(MAX(0,INDEX('A Loose'!$K$5:$K$104,MATCH($C26,'A Loose'!$A$5:$A$104,0)))/$O26,1))),0))</f>
        <v/>
      </c>
      <c r="K26" s="6" t="str">
        <f aca="false">IF($B26&lt;&gt;"C","",IFERROR(IF($E26="B",IF($D26=0,0,FLOOR(MAX(0,INDEX('B Made'!$I$5:$I$104,MATCH($C26,'B Made'!$A$5:$A$104,0)))/$D26,1)),IF($O26=0,0,FLOOR(MAX(0,INDEX('A Loose'!$K$5:$K$104,MATCH($C26,'A Loose'!$A$5:$A$104,0)))/$O26,1))),0))</f>
        <v/>
      </c>
      <c r="L26" s="6" t="str">
        <f aca="false">IF($B26&lt;&gt;"C","",$A26&amp;"|"&amp;$K26)</f>
        <v/>
      </c>
      <c r="M26" s="6" t="str">
        <f aca="false">IF($B26&lt;&gt;"B","",$A26&amp;"|"&amp;$I26)</f>
        <v/>
      </c>
      <c r="N26" s="6" t="str">
        <f aca="false">IF($C26="","",COUNTIFS(Recipes!$C$5:$C$104,$C26,Recipes!$B$5:$B$104,"C"))</f>
        <v/>
      </c>
      <c r="O26" s="6" t="str">
        <f aca="false">IF(OR($B26&lt;&gt;"C",$E26&lt;&gt;"A"),"",$D26+SUMPRODUCT((Recipes!$A$5:$A$104=$A26)*(Recipes!$B$5:$B$104="C")*(Recipes!$E$5:$E$104="B")*Recipes!$D$5:$D$104*SUMIFS(Recipes!$D$5:$D$104,Recipes!$A$5:$A$104,Recipes!$C$5:$C$104,Recipes!$B$5:$B$104,"B",Recipes!$C$5:$C$104,$C26)))</f>
        <v/>
      </c>
    </row>
    <row r="27" customFormat="false" ht="15" hidden="false" customHeight="false" outlineLevel="0" collapsed="false">
      <c r="A27" s="4"/>
      <c r="B27" s="4"/>
      <c r="C27" s="4"/>
      <c r="D27" s="4"/>
      <c r="E27" s="5" t="str">
        <f aca="false">IF($C27="","",IF(ISNUMBER(MATCH($C27,'A Loose'!$A$5:$A$104,0)),"A",IF(ISNUMBER(MATCH($C27,'B Made'!$A$5:$A$104,0)),"B","?? unknown code")))</f>
        <v/>
      </c>
      <c r="F27" s="5" t="str">
        <f aca="false">IF($C27="","",IFERROR(IF($E27="A",INDEX('A Loose'!$B$5:$B$104,MATCH($C27,'A Loose'!$A$5:$A$104,0)),IF($E27="B",INDEX('B Made'!$B$5:$B$104,MATCH($C27,'B Made'!$A$5:$A$104,0)),"")),""))</f>
        <v/>
      </c>
      <c r="G27" s="6" t="str">
        <f aca="false">IF($A27="","",IF($B27="B",IFERROR(INDEX('B Made'!$G$5:$G$104,MATCH($A27,'B Made'!$A$5:$A$104,0)),0),IF($B27="C",IFERROR(INDEX('C Kits'!$E$5:$E$104,MATCH($A27,'C Kits'!$A$5:$A$104,0)),0),0)))</f>
        <v/>
      </c>
      <c r="H27" s="5" t="str">
        <f aca="false">IF($A27="","",$D27*$G27)</f>
        <v/>
      </c>
      <c r="I27" s="6" t="str">
        <f aca="false">IF($B27&lt;&gt;"B","",IFERROR(IF($D27=0,0,FLOOR(MAX(0,INDEX('A Loose'!$K$5:$K$104,MATCH($C27,'A Loose'!$A$5:$A$104,0)))/$D27,1)),0))</f>
        <v/>
      </c>
      <c r="J27" s="6" t="str">
        <f aca="false">IF($B27&lt;&gt;"C","",IFERROR(IF($E27="B",IF($D27=0,0,FLOOR(MAX(0,INDEX('B Made'!$F$5:$F$104,MATCH($C27,'B Made'!$A$5:$A$104,0)))/$D27,1)),IF($O27=0,0,FLOOR(MAX(0,INDEX('A Loose'!$K$5:$K$104,MATCH($C27,'A Loose'!$A$5:$A$104,0)))/$O27,1))),0))</f>
        <v/>
      </c>
      <c r="K27" s="6" t="str">
        <f aca="false">IF($B27&lt;&gt;"C","",IFERROR(IF($E27="B",IF($D27=0,0,FLOOR(MAX(0,INDEX('B Made'!$I$5:$I$104,MATCH($C27,'B Made'!$A$5:$A$104,0)))/$D27,1)),IF($O27=0,0,FLOOR(MAX(0,INDEX('A Loose'!$K$5:$K$104,MATCH($C27,'A Loose'!$A$5:$A$104,0)))/$O27,1))),0))</f>
        <v/>
      </c>
      <c r="L27" s="6" t="str">
        <f aca="false">IF($B27&lt;&gt;"C","",$A27&amp;"|"&amp;$K27)</f>
        <v/>
      </c>
      <c r="M27" s="6" t="str">
        <f aca="false">IF($B27&lt;&gt;"B","",$A27&amp;"|"&amp;$I27)</f>
        <v/>
      </c>
      <c r="N27" s="6" t="str">
        <f aca="false">IF($C27="","",COUNTIFS(Recipes!$C$5:$C$104,$C27,Recipes!$B$5:$B$104,"C"))</f>
        <v/>
      </c>
      <c r="O27" s="6" t="str">
        <f aca="false">IF(OR($B27&lt;&gt;"C",$E27&lt;&gt;"A"),"",$D27+SUMPRODUCT((Recipes!$A$5:$A$104=$A27)*(Recipes!$B$5:$B$104="C")*(Recipes!$E$5:$E$104="B")*Recipes!$D$5:$D$104*SUMIFS(Recipes!$D$5:$D$104,Recipes!$A$5:$A$104,Recipes!$C$5:$C$104,Recipes!$B$5:$B$104,"B",Recipes!$C$5:$C$104,$C27)))</f>
        <v/>
      </c>
    </row>
    <row r="28" customFormat="false" ht="15" hidden="false" customHeight="false" outlineLevel="0" collapsed="false">
      <c r="A28" s="4"/>
      <c r="B28" s="4"/>
      <c r="C28" s="4"/>
      <c r="D28" s="4"/>
      <c r="E28" s="5" t="str">
        <f aca="false">IF($C28="","",IF(ISNUMBER(MATCH($C28,'A Loose'!$A$5:$A$104,0)),"A",IF(ISNUMBER(MATCH($C28,'B Made'!$A$5:$A$104,0)),"B","?? unknown code")))</f>
        <v/>
      </c>
      <c r="F28" s="5" t="str">
        <f aca="false">IF($C28="","",IFERROR(IF($E28="A",INDEX('A Loose'!$B$5:$B$104,MATCH($C28,'A Loose'!$A$5:$A$104,0)),IF($E28="B",INDEX('B Made'!$B$5:$B$104,MATCH($C28,'B Made'!$A$5:$A$104,0)),"")),""))</f>
        <v/>
      </c>
      <c r="G28" s="6" t="str">
        <f aca="false">IF($A28="","",IF($B28="B",IFERROR(INDEX('B Made'!$G$5:$G$104,MATCH($A28,'B Made'!$A$5:$A$104,0)),0),IF($B28="C",IFERROR(INDEX('C Kits'!$E$5:$E$104,MATCH($A28,'C Kits'!$A$5:$A$104,0)),0),0)))</f>
        <v/>
      </c>
      <c r="H28" s="5" t="str">
        <f aca="false">IF($A28="","",$D28*$G28)</f>
        <v/>
      </c>
      <c r="I28" s="6" t="str">
        <f aca="false">IF($B28&lt;&gt;"B","",IFERROR(IF($D28=0,0,FLOOR(MAX(0,INDEX('A Loose'!$K$5:$K$104,MATCH($C28,'A Loose'!$A$5:$A$104,0)))/$D28,1)),0))</f>
        <v/>
      </c>
      <c r="J28" s="6" t="str">
        <f aca="false">IF($B28&lt;&gt;"C","",IFERROR(IF($E28="B",IF($D28=0,0,FLOOR(MAX(0,INDEX('B Made'!$F$5:$F$104,MATCH($C28,'B Made'!$A$5:$A$104,0)))/$D28,1)),IF($O28=0,0,FLOOR(MAX(0,INDEX('A Loose'!$K$5:$K$104,MATCH($C28,'A Loose'!$A$5:$A$104,0)))/$O28,1))),0))</f>
        <v/>
      </c>
      <c r="K28" s="6" t="str">
        <f aca="false">IF($B28&lt;&gt;"C","",IFERROR(IF($E28="B",IF($D28=0,0,FLOOR(MAX(0,INDEX('B Made'!$I$5:$I$104,MATCH($C28,'B Made'!$A$5:$A$104,0)))/$D28,1)),IF($O28=0,0,FLOOR(MAX(0,INDEX('A Loose'!$K$5:$K$104,MATCH($C28,'A Loose'!$A$5:$A$104,0)))/$O28,1))),0))</f>
        <v/>
      </c>
      <c r="L28" s="6" t="str">
        <f aca="false">IF($B28&lt;&gt;"C","",$A28&amp;"|"&amp;$K28)</f>
        <v/>
      </c>
      <c r="M28" s="6" t="str">
        <f aca="false">IF($B28&lt;&gt;"B","",$A28&amp;"|"&amp;$I28)</f>
        <v/>
      </c>
      <c r="N28" s="6" t="str">
        <f aca="false">IF($C28="","",COUNTIFS(Recipes!$C$5:$C$104,$C28,Recipes!$B$5:$B$104,"C"))</f>
        <v/>
      </c>
      <c r="O28" s="6" t="str">
        <f aca="false">IF(OR($B28&lt;&gt;"C",$E28&lt;&gt;"A"),"",$D28+SUMPRODUCT((Recipes!$A$5:$A$104=$A28)*(Recipes!$B$5:$B$104="C")*(Recipes!$E$5:$E$104="B")*Recipes!$D$5:$D$104*SUMIFS(Recipes!$D$5:$D$104,Recipes!$A$5:$A$104,Recipes!$C$5:$C$104,Recipes!$B$5:$B$104,"B",Recipes!$C$5:$C$104,$C28)))</f>
        <v/>
      </c>
    </row>
    <row r="29" customFormat="false" ht="15" hidden="false" customHeight="false" outlineLevel="0" collapsed="false">
      <c r="A29" s="4"/>
      <c r="B29" s="4"/>
      <c r="C29" s="4"/>
      <c r="D29" s="4"/>
      <c r="E29" s="5" t="str">
        <f aca="false">IF($C29="","",IF(ISNUMBER(MATCH($C29,'A Loose'!$A$5:$A$104,0)),"A",IF(ISNUMBER(MATCH($C29,'B Made'!$A$5:$A$104,0)),"B","?? unknown code")))</f>
        <v/>
      </c>
      <c r="F29" s="5" t="str">
        <f aca="false">IF($C29="","",IFERROR(IF($E29="A",INDEX('A Loose'!$B$5:$B$104,MATCH($C29,'A Loose'!$A$5:$A$104,0)),IF($E29="B",INDEX('B Made'!$B$5:$B$104,MATCH($C29,'B Made'!$A$5:$A$104,0)),"")),""))</f>
        <v/>
      </c>
      <c r="G29" s="6" t="str">
        <f aca="false">IF($A29="","",IF($B29="B",IFERROR(INDEX('B Made'!$G$5:$G$104,MATCH($A29,'B Made'!$A$5:$A$104,0)),0),IF($B29="C",IFERROR(INDEX('C Kits'!$E$5:$E$104,MATCH($A29,'C Kits'!$A$5:$A$104,0)),0),0)))</f>
        <v/>
      </c>
      <c r="H29" s="5" t="str">
        <f aca="false">IF($A29="","",$D29*$G29)</f>
        <v/>
      </c>
      <c r="I29" s="6" t="str">
        <f aca="false">IF($B29&lt;&gt;"B","",IFERROR(IF($D29=0,0,FLOOR(MAX(0,INDEX('A Loose'!$K$5:$K$104,MATCH($C29,'A Loose'!$A$5:$A$104,0)))/$D29,1)),0))</f>
        <v/>
      </c>
      <c r="J29" s="6" t="str">
        <f aca="false">IF($B29&lt;&gt;"C","",IFERROR(IF($E29="B",IF($D29=0,0,FLOOR(MAX(0,INDEX('B Made'!$F$5:$F$104,MATCH($C29,'B Made'!$A$5:$A$104,0)))/$D29,1)),IF($O29=0,0,FLOOR(MAX(0,INDEX('A Loose'!$K$5:$K$104,MATCH($C29,'A Loose'!$A$5:$A$104,0)))/$O29,1))),0))</f>
        <v/>
      </c>
      <c r="K29" s="6" t="str">
        <f aca="false">IF($B29&lt;&gt;"C","",IFERROR(IF($E29="B",IF($D29=0,0,FLOOR(MAX(0,INDEX('B Made'!$I$5:$I$104,MATCH($C29,'B Made'!$A$5:$A$104,0)))/$D29,1)),IF($O29=0,0,FLOOR(MAX(0,INDEX('A Loose'!$K$5:$K$104,MATCH($C29,'A Loose'!$A$5:$A$104,0)))/$O29,1))),0))</f>
        <v/>
      </c>
      <c r="L29" s="6" t="str">
        <f aca="false">IF($B29&lt;&gt;"C","",$A29&amp;"|"&amp;$K29)</f>
        <v/>
      </c>
      <c r="M29" s="6" t="str">
        <f aca="false">IF($B29&lt;&gt;"B","",$A29&amp;"|"&amp;$I29)</f>
        <v/>
      </c>
      <c r="N29" s="6" t="str">
        <f aca="false">IF($C29="","",COUNTIFS(Recipes!$C$5:$C$104,$C29,Recipes!$B$5:$B$104,"C"))</f>
        <v/>
      </c>
      <c r="O29" s="6" t="str">
        <f aca="false">IF(OR($B29&lt;&gt;"C",$E29&lt;&gt;"A"),"",$D29+SUMPRODUCT((Recipes!$A$5:$A$104=$A29)*(Recipes!$B$5:$B$104="C")*(Recipes!$E$5:$E$104="B")*Recipes!$D$5:$D$104*SUMIFS(Recipes!$D$5:$D$104,Recipes!$A$5:$A$104,Recipes!$C$5:$C$104,Recipes!$B$5:$B$104,"B",Recipes!$C$5:$C$104,$C29)))</f>
        <v/>
      </c>
    </row>
    <row r="30" customFormat="false" ht="15" hidden="false" customHeight="false" outlineLevel="0" collapsed="false">
      <c r="A30" s="4"/>
      <c r="B30" s="4"/>
      <c r="C30" s="4"/>
      <c r="D30" s="4"/>
      <c r="E30" s="5" t="str">
        <f aca="false">IF($C30="","",IF(ISNUMBER(MATCH($C30,'A Loose'!$A$5:$A$104,0)),"A",IF(ISNUMBER(MATCH($C30,'B Made'!$A$5:$A$104,0)),"B","?? unknown code")))</f>
        <v/>
      </c>
      <c r="F30" s="5" t="str">
        <f aca="false">IF($C30="","",IFERROR(IF($E30="A",INDEX('A Loose'!$B$5:$B$104,MATCH($C30,'A Loose'!$A$5:$A$104,0)),IF($E30="B",INDEX('B Made'!$B$5:$B$104,MATCH($C30,'B Made'!$A$5:$A$104,0)),"")),""))</f>
        <v/>
      </c>
      <c r="G30" s="6" t="str">
        <f aca="false">IF($A30="","",IF($B30="B",IFERROR(INDEX('B Made'!$G$5:$G$104,MATCH($A30,'B Made'!$A$5:$A$104,0)),0),IF($B30="C",IFERROR(INDEX('C Kits'!$E$5:$E$104,MATCH($A30,'C Kits'!$A$5:$A$104,0)),0),0)))</f>
        <v/>
      </c>
      <c r="H30" s="5" t="str">
        <f aca="false">IF($A30="","",$D30*$G30)</f>
        <v/>
      </c>
      <c r="I30" s="6" t="str">
        <f aca="false">IF($B30&lt;&gt;"B","",IFERROR(IF($D30=0,0,FLOOR(MAX(0,INDEX('A Loose'!$K$5:$K$104,MATCH($C30,'A Loose'!$A$5:$A$104,0)))/$D30,1)),0))</f>
        <v/>
      </c>
      <c r="J30" s="6" t="str">
        <f aca="false">IF($B30&lt;&gt;"C","",IFERROR(IF($E30="B",IF($D30=0,0,FLOOR(MAX(0,INDEX('B Made'!$F$5:$F$104,MATCH($C30,'B Made'!$A$5:$A$104,0)))/$D30,1)),IF($O30=0,0,FLOOR(MAX(0,INDEX('A Loose'!$K$5:$K$104,MATCH($C30,'A Loose'!$A$5:$A$104,0)))/$O30,1))),0))</f>
        <v/>
      </c>
      <c r="K30" s="6" t="str">
        <f aca="false">IF($B30&lt;&gt;"C","",IFERROR(IF($E30="B",IF($D30=0,0,FLOOR(MAX(0,INDEX('B Made'!$I$5:$I$104,MATCH($C30,'B Made'!$A$5:$A$104,0)))/$D30,1)),IF($O30=0,0,FLOOR(MAX(0,INDEX('A Loose'!$K$5:$K$104,MATCH($C30,'A Loose'!$A$5:$A$104,0)))/$O30,1))),0))</f>
        <v/>
      </c>
      <c r="L30" s="6" t="str">
        <f aca="false">IF($B30&lt;&gt;"C","",$A30&amp;"|"&amp;$K30)</f>
        <v/>
      </c>
      <c r="M30" s="6" t="str">
        <f aca="false">IF($B30&lt;&gt;"B","",$A30&amp;"|"&amp;$I30)</f>
        <v/>
      </c>
      <c r="N30" s="6" t="str">
        <f aca="false">IF($C30="","",COUNTIFS(Recipes!$C$5:$C$104,$C30,Recipes!$B$5:$B$104,"C"))</f>
        <v/>
      </c>
      <c r="O30" s="6" t="str">
        <f aca="false">IF(OR($B30&lt;&gt;"C",$E30&lt;&gt;"A"),"",$D30+SUMPRODUCT((Recipes!$A$5:$A$104=$A30)*(Recipes!$B$5:$B$104="C")*(Recipes!$E$5:$E$104="B")*Recipes!$D$5:$D$104*SUMIFS(Recipes!$D$5:$D$104,Recipes!$A$5:$A$104,Recipes!$C$5:$C$104,Recipes!$B$5:$B$104,"B",Recipes!$C$5:$C$104,$C30)))</f>
        <v/>
      </c>
    </row>
    <row r="31" customFormat="false" ht="15" hidden="false" customHeight="false" outlineLevel="0" collapsed="false">
      <c r="A31" s="4"/>
      <c r="B31" s="4"/>
      <c r="C31" s="4"/>
      <c r="D31" s="4"/>
      <c r="E31" s="5" t="str">
        <f aca="false">IF($C31="","",IF(ISNUMBER(MATCH($C31,'A Loose'!$A$5:$A$104,0)),"A",IF(ISNUMBER(MATCH($C31,'B Made'!$A$5:$A$104,0)),"B","?? unknown code")))</f>
        <v/>
      </c>
      <c r="F31" s="5" t="str">
        <f aca="false">IF($C31="","",IFERROR(IF($E31="A",INDEX('A Loose'!$B$5:$B$104,MATCH($C31,'A Loose'!$A$5:$A$104,0)),IF($E31="B",INDEX('B Made'!$B$5:$B$104,MATCH($C31,'B Made'!$A$5:$A$104,0)),"")),""))</f>
        <v/>
      </c>
      <c r="G31" s="6" t="str">
        <f aca="false">IF($A31="","",IF($B31="B",IFERROR(INDEX('B Made'!$G$5:$G$104,MATCH($A31,'B Made'!$A$5:$A$104,0)),0),IF($B31="C",IFERROR(INDEX('C Kits'!$E$5:$E$104,MATCH($A31,'C Kits'!$A$5:$A$104,0)),0),0)))</f>
        <v/>
      </c>
      <c r="H31" s="5" t="str">
        <f aca="false">IF($A31="","",$D31*$G31)</f>
        <v/>
      </c>
      <c r="I31" s="6" t="str">
        <f aca="false">IF($B31&lt;&gt;"B","",IFERROR(IF($D31=0,0,FLOOR(MAX(0,INDEX('A Loose'!$K$5:$K$104,MATCH($C31,'A Loose'!$A$5:$A$104,0)))/$D31,1)),0))</f>
        <v/>
      </c>
      <c r="J31" s="6" t="str">
        <f aca="false">IF($B31&lt;&gt;"C","",IFERROR(IF($E31="B",IF($D31=0,0,FLOOR(MAX(0,INDEX('B Made'!$F$5:$F$104,MATCH($C31,'B Made'!$A$5:$A$104,0)))/$D31,1)),IF($O31=0,0,FLOOR(MAX(0,INDEX('A Loose'!$K$5:$K$104,MATCH($C31,'A Loose'!$A$5:$A$104,0)))/$O31,1))),0))</f>
        <v/>
      </c>
      <c r="K31" s="6" t="str">
        <f aca="false">IF($B31&lt;&gt;"C","",IFERROR(IF($E31="B",IF($D31=0,0,FLOOR(MAX(0,INDEX('B Made'!$I$5:$I$104,MATCH($C31,'B Made'!$A$5:$A$104,0)))/$D31,1)),IF($O31=0,0,FLOOR(MAX(0,INDEX('A Loose'!$K$5:$K$104,MATCH($C31,'A Loose'!$A$5:$A$104,0)))/$O31,1))),0))</f>
        <v/>
      </c>
      <c r="L31" s="6" t="str">
        <f aca="false">IF($B31&lt;&gt;"C","",$A31&amp;"|"&amp;$K31)</f>
        <v/>
      </c>
      <c r="M31" s="6" t="str">
        <f aca="false">IF($B31&lt;&gt;"B","",$A31&amp;"|"&amp;$I31)</f>
        <v/>
      </c>
      <c r="N31" s="6" t="str">
        <f aca="false">IF($C31="","",COUNTIFS(Recipes!$C$5:$C$104,$C31,Recipes!$B$5:$B$104,"C"))</f>
        <v/>
      </c>
      <c r="O31" s="6" t="str">
        <f aca="false">IF(OR($B31&lt;&gt;"C",$E31&lt;&gt;"A"),"",$D31+SUMPRODUCT((Recipes!$A$5:$A$104=$A31)*(Recipes!$B$5:$B$104="C")*(Recipes!$E$5:$E$104="B")*Recipes!$D$5:$D$104*SUMIFS(Recipes!$D$5:$D$104,Recipes!$A$5:$A$104,Recipes!$C$5:$C$104,Recipes!$B$5:$B$104,"B",Recipes!$C$5:$C$104,$C31)))</f>
        <v/>
      </c>
    </row>
    <row r="32" customFormat="false" ht="15" hidden="false" customHeight="false" outlineLevel="0" collapsed="false">
      <c r="A32" s="4"/>
      <c r="B32" s="4"/>
      <c r="C32" s="4"/>
      <c r="D32" s="4"/>
      <c r="E32" s="5" t="str">
        <f aca="false">IF($C32="","",IF(ISNUMBER(MATCH($C32,'A Loose'!$A$5:$A$104,0)),"A",IF(ISNUMBER(MATCH($C32,'B Made'!$A$5:$A$104,0)),"B","?? unknown code")))</f>
        <v/>
      </c>
      <c r="F32" s="5" t="str">
        <f aca="false">IF($C32="","",IFERROR(IF($E32="A",INDEX('A Loose'!$B$5:$B$104,MATCH($C32,'A Loose'!$A$5:$A$104,0)),IF($E32="B",INDEX('B Made'!$B$5:$B$104,MATCH($C32,'B Made'!$A$5:$A$104,0)),"")),""))</f>
        <v/>
      </c>
      <c r="G32" s="6" t="str">
        <f aca="false">IF($A32="","",IF($B32="B",IFERROR(INDEX('B Made'!$G$5:$G$104,MATCH($A32,'B Made'!$A$5:$A$104,0)),0),IF($B32="C",IFERROR(INDEX('C Kits'!$E$5:$E$104,MATCH($A32,'C Kits'!$A$5:$A$104,0)),0),0)))</f>
        <v/>
      </c>
      <c r="H32" s="5" t="str">
        <f aca="false">IF($A32="","",$D32*$G32)</f>
        <v/>
      </c>
      <c r="I32" s="6" t="str">
        <f aca="false">IF($B32&lt;&gt;"B","",IFERROR(IF($D32=0,0,FLOOR(MAX(0,INDEX('A Loose'!$K$5:$K$104,MATCH($C32,'A Loose'!$A$5:$A$104,0)))/$D32,1)),0))</f>
        <v/>
      </c>
      <c r="J32" s="6" t="str">
        <f aca="false">IF($B32&lt;&gt;"C","",IFERROR(IF($E32="B",IF($D32=0,0,FLOOR(MAX(0,INDEX('B Made'!$F$5:$F$104,MATCH($C32,'B Made'!$A$5:$A$104,0)))/$D32,1)),IF($O32=0,0,FLOOR(MAX(0,INDEX('A Loose'!$K$5:$K$104,MATCH($C32,'A Loose'!$A$5:$A$104,0)))/$O32,1))),0))</f>
        <v/>
      </c>
      <c r="K32" s="6" t="str">
        <f aca="false">IF($B32&lt;&gt;"C","",IFERROR(IF($E32="B",IF($D32=0,0,FLOOR(MAX(0,INDEX('B Made'!$I$5:$I$104,MATCH($C32,'B Made'!$A$5:$A$104,0)))/$D32,1)),IF($O32=0,0,FLOOR(MAX(0,INDEX('A Loose'!$K$5:$K$104,MATCH($C32,'A Loose'!$A$5:$A$104,0)))/$O32,1))),0))</f>
        <v/>
      </c>
      <c r="L32" s="6" t="str">
        <f aca="false">IF($B32&lt;&gt;"C","",$A32&amp;"|"&amp;$K32)</f>
        <v/>
      </c>
      <c r="M32" s="6" t="str">
        <f aca="false">IF($B32&lt;&gt;"B","",$A32&amp;"|"&amp;$I32)</f>
        <v/>
      </c>
      <c r="N32" s="6" t="str">
        <f aca="false">IF($C32="","",COUNTIFS(Recipes!$C$5:$C$104,$C32,Recipes!$B$5:$B$104,"C"))</f>
        <v/>
      </c>
      <c r="O32" s="6" t="str">
        <f aca="false">IF(OR($B32&lt;&gt;"C",$E32&lt;&gt;"A"),"",$D32+SUMPRODUCT((Recipes!$A$5:$A$104=$A32)*(Recipes!$B$5:$B$104="C")*(Recipes!$E$5:$E$104="B")*Recipes!$D$5:$D$104*SUMIFS(Recipes!$D$5:$D$104,Recipes!$A$5:$A$104,Recipes!$C$5:$C$104,Recipes!$B$5:$B$104,"B",Recipes!$C$5:$C$104,$C32)))</f>
        <v/>
      </c>
    </row>
    <row r="33" customFormat="false" ht="15" hidden="false" customHeight="false" outlineLevel="0" collapsed="false">
      <c r="A33" s="4"/>
      <c r="B33" s="4"/>
      <c r="C33" s="4"/>
      <c r="D33" s="4"/>
      <c r="E33" s="5" t="str">
        <f aca="false">IF($C33="","",IF(ISNUMBER(MATCH($C33,'A Loose'!$A$5:$A$104,0)),"A",IF(ISNUMBER(MATCH($C33,'B Made'!$A$5:$A$104,0)),"B","?? unknown code")))</f>
        <v/>
      </c>
      <c r="F33" s="5" t="str">
        <f aca="false">IF($C33="","",IFERROR(IF($E33="A",INDEX('A Loose'!$B$5:$B$104,MATCH($C33,'A Loose'!$A$5:$A$104,0)),IF($E33="B",INDEX('B Made'!$B$5:$B$104,MATCH($C33,'B Made'!$A$5:$A$104,0)),"")),""))</f>
        <v/>
      </c>
      <c r="G33" s="6" t="str">
        <f aca="false">IF($A33="","",IF($B33="B",IFERROR(INDEX('B Made'!$G$5:$G$104,MATCH($A33,'B Made'!$A$5:$A$104,0)),0),IF($B33="C",IFERROR(INDEX('C Kits'!$E$5:$E$104,MATCH($A33,'C Kits'!$A$5:$A$104,0)),0),0)))</f>
        <v/>
      </c>
      <c r="H33" s="5" t="str">
        <f aca="false">IF($A33="","",$D33*$G33)</f>
        <v/>
      </c>
      <c r="I33" s="6" t="str">
        <f aca="false">IF($B33&lt;&gt;"B","",IFERROR(IF($D33=0,0,FLOOR(MAX(0,INDEX('A Loose'!$K$5:$K$104,MATCH($C33,'A Loose'!$A$5:$A$104,0)))/$D33,1)),0))</f>
        <v/>
      </c>
      <c r="J33" s="6" t="str">
        <f aca="false">IF($B33&lt;&gt;"C","",IFERROR(IF($E33="B",IF($D33=0,0,FLOOR(MAX(0,INDEX('B Made'!$F$5:$F$104,MATCH($C33,'B Made'!$A$5:$A$104,0)))/$D33,1)),IF($O33=0,0,FLOOR(MAX(0,INDEX('A Loose'!$K$5:$K$104,MATCH($C33,'A Loose'!$A$5:$A$104,0)))/$O33,1))),0))</f>
        <v/>
      </c>
      <c r="K33" s="6" t="str">
        <f aca="false">IF($B33&lt;&gt;"C","",IFERROR(IF($E33="B",IF($D33=0,0,FLOOR(MAX(0,INDEX('B Made'!$I$5:$I$104,MATCH($C33,'B Made'!$A$5:$A$104,0)))/$D33,1)),IF($O33=0,0,FLOOR(MAX(0,INDEX('A Loose'!$K$5:$K$104,MATCH($C33,'A Loose'!$A$5:$A$104,0)))/$O33,1))),0))</f>
        <v/>
      </c>
      <c r="L33" s="6" t="str">
        <f aca="false">IF($B33&lt;&gt;"C","",$A33&amp;"|"&amp;$K33)</f>
        <v/>
      </c>
      <c r="M33" s="6" t="str">
        <f aca="false">IF($B33&lt;&gt;"B","",$A33&amp;"|"&amp;$I33)</f>
        <v/>
      </c>
      <c r="N33" s="6" t="str">
        <f aca="false">IF($C33="","",COUNTIFS(Recipes!$C$5:$C$104,$C33,Recipes!$B$5:$B$104,"C"))</f>
        <v/>
      </c>
      <c r="O33" s="6" t="str">
        <f aca="false">IF(OR($B33&lt;&gt;"C",$E33&lt;&gt;"A"),"",$D33+SUMPRODUCT((Recipes!$A$5:$A$104=$A33)*(Recipes!$B$5:$B$104="C")*(Recipes!$E$5:$E$104="B")*Recipes!$D$5:$D$104*SUMIFS(Recipes!$D$5:$D$104,Recipes!$A$5:$A$104,Recipes!$C$5:$C$104,Recipes!$B$5:$B$104,"B",Recipes!$C$5:$C$104,$C33)))</f>
        <v/>
      </c>
    </row>
    <row r="34" customFormat="false" ht="15" hidden="false" customHeight="false" outlineLevel="0" collapsed="false">
      <c r="A34" s="4"/>
      <c r="B34" s="4"/>
      <c r="C34" s="4"/>
      <c r="D34" s="4"/>
      <c r="E34" s="5" t="str">
        <f aca="false">IF($C34="","",IF(ISNUMBER(MATCH($C34,'A Loose'!$A$5:$A$104,0)),"A",IF(ISNUMBER(MATCH($C34,'B Made'!$A$5:$A$104,0)),"B","?? unknown code")))</f>
        <v/>
      </c>
      <c r="F34" s="5" t="str">
        <f aca="false">IF($C34="","",IFERROR(IF($E34="A",INDEX('A Loose'!$B$5:$B$104,MATCH($C34,'A Loose'!$A$5:$A$104,0)),IF($E34="B",INDEX('B Made'!$B$5:$B$104,MATCH($C34,'B Made'!$A$5:$A$104,0)),"")),""))</f>
        <v/>
      </c>
      <c r="G34" s="6" t="str">
        <f aca="false">IF($A34="","",IF($B34="B",IFERROR(INDEX('B Made'!$G$5:$G$104,MATCH($A34,'B Made'!$A$5:$A$104,0)),0),IF($B34="C",IFERROR(INDEX('C Kits'!$E$5:$E$104,MATCH($A34,'C Kits'!$A$5:$A$104,0)),0),0)))</f>
        <v/>
      </c>
      <c r="H34" s="5" t="str">
        <f aca="false">IF($A34="","",$D34*$G34)</f>
        <v/>
      </c>
      <c r="I34" s="6" t="str">
        <f aca="false">IF($B34&lt;&gt;"B","",IFERROR(IF($D34=0,0,FLOOR(MAX(0,INDEX('A Loose'!$K$5:$K$104,MATCH($C34,'A Loose'!$A$5:$A$104,0)))/$D34,1)),0))</f>
        <v/>
      </c>
      <c r="J34" s="6" t="str">
        <f aca="false">IF($B34&lt;&gt;"C","",IFERROR(IF($E34="B",IF($D34=0,0,FLOOR(MAX(0,INDEX('B Made'!$F$5:$F$104,MATCH($C34,'B Made'!$A$5:$A$104,0)))/$D34,1)),IF($O34=0,0,FLOOR(MAX(0,INDEX('A Loose'!$K$5:$K$104,MATCH($C34,'A Loose'!$A$5:$A$104,0)))/$O34,1))),0))</f>
        <v/>
      </c>
      <c r="K34" s="6" t="str">
        <f aca="false">IF($B34&lt;&gt;"C","",IFERROR(IF($E34="B",IF($D34=0,0,FLOOR(MAX(0,INDEX('B Made'!$I$5:$I$104,MATCH($C34,'B Made'!$A$5:$A$104,0)))/$D34,1)),IF($O34=0,0,FLOOR(MAX(0,INDEX('A Loose'!$K$5:$K$104,MATCH($C34,'A Loose'!$A$5:$A$104,0)))/$O34,1))),0))</f>
        <v/>
      </c>
      <c r="L34" s="6" t="str">
        <f aca="false">IF($B34&lt;&gt;"C","",$A34&amp;"|"&amp;$K34)</f>
        <v/>
      </c>
      <c r="M34" s="6" t="str">
        <f aca="false">IF($B34&lt;&gt;"B","",$A34&amp;"|"&amp;$I34)</f>
        <v/>
      </c>
      <c r="N34" s="6" t="str">
        <f aca="false">IF($C34="","",COUNTIFS(Recipes!$C$5:$C$104,$C34,Recipes!$B$5:$B$104,"C"))</f>
        <v/>
      </c>
      <c r="O34" s="6" t="str">
        <f aca="false">IF(OR($B34&lt;&gt;"C",$E34&lt;&gt;"A"),"",$D34+SUMPRODUCT((Recipes!$A$5:$A$104=$A34)*(Recipes!$B$5:$B$104="C")*(Recipes!$E$5:$E$104="B")*Recipes!$D$5:$D$104*SUMIFS(Recipes!$D$5:$D$104,Recipes!$A$5:$A$104,Recipes!$C$5:$C$104,Recipes!$B$5:$B$104,"B",Recipes!$C$5:$C$104,$C34)))</f>
        <v/>
      </c>
    </row>
    <row r="35" customFormat="false" ht="15" hidden="false" customHeight="false" outlineLevel="0" collapsed="false">
      <c r="A35" s="4"/>
      <c r="B35" s="4"/>
      <c r="C35" s="4"/>
      <c r="D35" s="4"/>
      <c r="E35" s="5" t="str">
        <f aca="false">IF($C35="","",IF(ISNUMBER(MATCH($C35,'A Loose'!$A$5:$A$104,0)),"A",IF(ISNUMBER(MATCH($C35,'B Made'!$A$5:$A$104,0)),"B","?? unknown code")))</f>
        <v/>
      </c>
      <c r="F35" s="5" t="str">
        <f aca="false">IF($C35="","",IFERROR(IF($E35="A",INDEX('A Loose'!$B$5:$B$104,MATCH($C35,'A Loose'!$A$5:$A$104,0)),IF($E35="B",INDEX('B Made'!$B$5:$B$104,MATCH($C35,'B Made'!$A$5:$A$104,0)),"")),""))</f>
        <v/>
      </c>
      <c r="G35" s="6" t="str">
        <f aca="false">IF($A35="","",IF($B35="B",IFERROR(INDEX('B Made'!$G$5:$G$104,MATCH($A35,'B Made'!$A$5:$A$104,0)),0),IF($B35="C",IFERROR(INDEX('C Kits'!$E$5:$E$104,MATCH($A35,'C Kits'!$A$5:$A$104,0)),0),0)))</f>
        <v/>
      </c>
      <c r="H35" s="5" t="str">
        <f aca="false">IF($A35="","",$D35*$G35)</f>
        <v/>
      </c>
      <c r="I35" s="6" t="str">
        <f aca="false">IF($B35&lt;&gt;"B","",IFERROR(IF($D35=0,0,FLOOR(MAX(0,INDEX('A Loose'!$K$5:$K$104,MATCH($C35,'A Loose'!$A$5:$A$104,0)))/$D35,1)),0))</f>
        <v/>
      </c>
      <c r="J35" s="6" t="str">
        <f aca="false">IF($B35&lt;&gt;"C","",IFERROR(IF($E35="B",IF($D35=0,0,FLOOR(MAX(0,INDEX('B Made'!$F$5:$F$104,MATCH($C35,'B Made'!$A$5:$A$104,0)))/$D35,1)),IF($O35=0,0,FLOOR(MAX(0,INDEX('A Loose'!$K$5:$K$104,MATCH($C35,'A Loose'!$A$5:$A$104,0)))/$O35,1))),0))</f>
        <v/>
      </c>
      <c r="K35" s="6" t="str">
        <f aca="false">IF($B35&lt;&gt;"C","",IFERROR(IF($E35="B",IF($D35=0,0,FLOOR(MAX(0,INDEX('B Made'!$I$5:$I$104,MATCH($C35,'B Made'!$A$5:$A$104,0)))/$D35,1)),IF($O35=0,0,FLOOR(MAX(0,INDEX('A Loose'!$K$5:$K$104,MATCH($C35,'A Loose'!$A$5:$A$104,0)))/$O35,1))),0))</f>
        <v/>
      </c>
      <c r="L35" s="6" t="str">
        <f aca="false">IF($B35&lt;&gt;"C","",$A35&amp;"|"&amp;$K35)</f>
        <v/>
      </c>
      <c r="M35" s="6" t="str">
        <f aca="false">IF($B35&lt;&gt;"B","",$A35&amp;"|"&amp;$I35)</f>
        <v/>
      </c>
      <c r="N35" s="6" t="str">
        <f aca="false">IF($C35="","",COUNTIFS(Recipes!$C$5:$C$104,$C35,Recipes!$B$5:$B$104,"C"))</f>
        <v/>
      </c>
      <c r="O35" s="6" t="str">
        <f aca="false">IF(OR($B35&lt;&gt;"C",$E35&lt;&gt;"A"),"",$D35+SUMPRODUCT((Recipes!$A$5:$A$104=$A35)*(Recipes!$B$5:$B$104="C")*(Recipes!$E$5:$E$104="B")*Recipes!$D$5:$D$104*SUMIFS(Recipes!$D$5:$D$104,Recipes!$A$5:$A$104,Recipes!$C$5:$C$104,Recipes!$B$5:$B$104,"B",Recipes!$C$5:$C$104,$C35)))</f>
        <v/>
      </c>
    </row>
    <row r="36" customFormat="false" ht="15" hidden="false" customHeight="false" outlineLevel="0" collapsed="false">
      <c r="A36" s="4"/>
      <c r="B36" s="4"/>
      <c r="C36" s="4"/>
      <c r="D36" s="4"/>
      <c r="E36" s="5" t="str">
        <f aca="false">IF($C36="","",IF(ISNUMBER(MATCH($C36,'A Loose'!$A$5:$A$104,0)),"A",IF(ISNUMBER(MATCH($C36,'B Made'!$A$5:$A$104,0)),"B","?? unknown code")))</f>
        <v/>
      </c>
      <c r="F36" s="5" t="str">
        <f aca="false">IF($C36="","",IFERROR(IF($E36="A",INDEX('A Loose'!$B$5:$B$104,MATCH($C36,'A Loose'!$A$5:$A$104,0)),IF($E36="B",INDEX('B Made'!$B$5:$B$104,MATCH($C36,'B Made'!$A$5:$A$104,0)),"")),""))</f>
        <v/>
      </c>
      <c r="G36" s="6" t="str">
        <f aca="false">IF($A36="","",IF($B36="B",IFERROR(INDEX('B Made'!$G$5:$G$104,MATCH($A36,'B Made'!$A$5:$A$104,0)),0),IF($B36="C",IFERROR(INDEX('C Kits'!$E$5:$E$104,MATCH($A36,'C Kits'!$A$5:$A$104,0)),0),0)))</f>
        <v/>
      </c>
      <c r="H36" s="5" t="str">
        <f aca="false">IF($A36="","",$D36*$G36)</f>
        <v/>
      </c>
      <c r="I36" s="6" t="str">
        <f aca="false">IF($B36&lt;&gt;"B","",IFERROR(IF($D36=0,0,FLOOR(MAX(0,INDEX('A Loose'!$K$5:$K$104,MATCH($C36,'A Loose'!$A$5:$A$104,0)))/$D36,1)),0))</f>
        <v/>
      </c>
      <c r="J36" s="6" t="str">
        <f aca="false">IF($B36&lt;&gt;"C","",IFERROR(IF($E36="B",IF($D36=0,0,FLOOR(MAX(0,INDEX('B Made'!$F$5:$F$104,MATCH($C36,'B Made'!$A$5:$A$104,0)))/$D36,1)),IF($O36=0,0,FLOOR(MAX(0,INDEX('A Loose'!$K$5:$K$104,MATCH($C36,'A Loose'!$A$5:$A$104,0)))/$O36,1))),0))</f>
        <v/>
      </c>
      <c r="K36" s="6" t="str">
        <f aca="false">IF($B36&lt;&gt;"C","",IFERROR(IF($E36="B",IF($D36=0,0,FLOOR(MAX(0,INDEX('B Made'!$I$5:$I$104,MATCH($C36,'B Made'!$A$5:$A$104,0)))/$D36,1)),IF($O36=0,0,FLOOR(MAX(0,INDEX('A Loose'!$K$5:$K$104,MATCH($C36,'A Loose'!$A$5:$A$104,0)))/$O36,1))),0))</f>
        <v/>
      </c>
      <c r="L36" s="6" t="str">
        <f aca="false">IF($B36&lt;&gt;"C","",$A36&amp;"|"&amp;$K36)</f>
        <v/>
      </c>
      <c r="M36" s="6" t="str">
        <f aca="false">IF($B36&lt;&gt;"B","",$A36&amp;"|"&amp;$I36)</f>
        <v/>
      </c>
      <c r="N36" s="6" t="str">
        <f aca="false">IF($C36="","",COUNTIFS(Recipes!$C$5:$C$104,$C36,Recipes!$B$5:$B$104,"C"))</f>
        <v/>
      </c>
      <c r="O36" s="6" t="str">
        <f aca="false">IF(OR($B36&lt;&gt;"C",$E36&lt;&gt;"A"),"",$D36+SUMPRODUCT((Recipes!$A$5:$A$104=$A36)*(Recipes!$B$5:$B$104="C")*(Recipes!$E$5:$E$104="B")*Recipes!$D$5:$D$104*SUMIFS(Recipes!$D$5:$D$104,Recipes!$A$5:$A$104,Recipes!$C$5:$C$104,Recipes!$B$5:$B$104,"B",Recipes!$C$5:$C$104,$C36)))</f>
        <v/>
      </c>
    </row>
    <row r="37" customFormat="false" ht="15" hidden="false" customHeight="false" outlineLevel="0" collapsed="false">
      <c r="A37" s="4"/>
      <c r="B37" s="4"/>
      <c r="C37" s="4"/>
      <c r="D37" s="4"/>
      <c r="E37" s="5" t="str">
        <f aca="false">IF($C37="","",IF(ISNUMBER(MATCH($C37,'A Loose'!$A$5:$A$104,0)),"A",IF(ISNUMBER(MATCH($C37,'B Made'!$A$5:$A$104,0)),"B","?? unknown code")))</f>
        <v/>
      </c>
      <c r="F37" s="5" t="str">
        <f aca="false">IF($C37="","",IFERROR(IF($E37="A",INDEX('A Loose'!$B$5:$B$104,MATCH($C37,'A Loose'!$A$5:$A$104,0)),IF($E37="B",INDEX('B Made'!$B$5:$B$104,MATCH($C37,'B Made'!$A$5:$A$104,0)),"")),""))</f>
        <v/>
      </c>
      <c r="G37" s="6" t="str">
        <f aca="false">IF($A37="","",IF($B37="B",IFERROR(INDEX('B Made'!$G$5:$G$104,MATCH($A37,'B Made'!$A$5:$A$104,0)),0),IF($B37="C",IFERROR(INDEX('C Kits'!$E$5:$E$104,MATCH($A37,'C Kits'!$A$5:$A$104,0)),0),0)))</f>
        <v/>
      </c>
      <c r="H37" s="5" t="str">
        <f aca="false">IF($A37="","",$D37*$G37)</f>
        <v/>
      </c>
      <c r="I37" s="6" t="str">
        <f aca="false">IF($B37&lt;&gt;"B","",IFERROR(IF($D37=0,0,FLOOR(MAX(0,INDEX('A Loose'!$K$5:$K$104,MATCH($C37,'A Loose'!$A$5:$A$104,0)))/$D37,1)),0))</f>
        <v/>
      </c>
      <c r="J37" s="6" t="str">
        <f aca="false">IF($B37&lt;&gt;"C","",IFERROR(IF($E37="B",IF($D37=0,0,FLOOR(MAX(0,INDEX('B Made'!$F$5:$F$104,MATCH($C37,'B Made'!$A$5:$A$104,0)))/$D37,1)),IF($O37=0,0,FLOOR(MAX(0,INDEX('A Loose'!$K$5:$K$104,MATCH($C37,'A Loose'!$A$5:$A$104,0)))/$O37,1))),0))</f>
        <v/>
      </c>
      <c r="K37" s="6" t="str">
        <f aca="false">IF($B37&lt;&gt;"C","",IFERROR(IF($E37="B",IF($D37=0,0,FLOOR(MAX(0,INDEX('B Made'!$I$5:$I$104,MATCH($C37,'B Made'!$A$5:$A$104,0)))/$D37,1)),IF($O37=0,0,FLOOR(MAX(0,INDEX('A Loose'!$K$5:$K$104,MATCH($C37,'A Loose'!$A$5:$A$104,0)))/$O37,1))),0))</f>
        <v/>
      </c>
      <c r="L37" s="6" t="str">
        <f aca="false">IF($B37&lt;&gt;"C","",$A37&amp;"|"&amp;$K37)</f>
        <v/>
      </c>
      <c r="M37" s="6" t="str">
        <f aca="false">IF($B37&lt;&gt;"B","",$A37&amp;"|"&amp;$I37)</f>
        <v/>
      </c>
      <c r="N37" s="6" t="str">
        <f aca="false">IF($C37="","",COUNTIFS(Recipes!$C$5:$C$104,$C37,Recipes!$B$5:$B$104,"C"))</f>
        <v/>
      </c>
      <c r="O37" s="6" t="str">
        <f aca="false">IF(OR($B37&lt;&gt;"C",$E37&lt;&gt;"A"),"",$D37+SUMPRODUCT((Recipes!$A$5:$A$104=$A37)*(Recipes!$B$5:$B$104="C")*(Recipes!$E$5:$E$104="B")*Recipes!$D$5:$D$104*SUMIFS(Recipes!$D$5:$D$104,Recipes!$A$5:$A$104,Recipes!$C$5:$C$104,Recipes!$B$5:$B$104,"B",Recipes!$C$5:$C$104,$C37)))</f>
        <v/>
      </c>
    </row>
    <row r="38" customFormat="false" ht="15" hidden="false" customHeight="false" outlineLevel="0" collapsed="false">
      <c r="A38" s="4"/>
      <c r="B38" s="4"/>
      <c r="C38" s="4"/>
      <c r="D38" s="4"/>
      <c r="E38" s="5" t="str">
        <f aca="false">IF($C38="","",IF(ISNUMBER(MATCH($C38,'A Loose'!$A$5:$A$104,0)),"A",IF(ISNUMBER(MATCH($C38,'B Made'!$A$5:$A$104,0)),"B","?? unknown code")))</f>
        <v/>
      </c>
      <c r="F38" s="5" t="str">
        <f aca="false">IF($C38="","",IFERROR(IF($E38="A",INDEX('A Loose'!$B$5:$B$104,MATCH($C38,'A Loose'!$A$5:$A$104,0)),IF($E38="B",INDEX('B Made'!$B$5:$B$104,MATCH($C38,'B Made'!$A$5:$A$104,0)),"")),""))</f>
        <v/>
      </c>
      <c r="G38" s="6" t="str">
        <f aca="false">IF($A38="","",IF($B38="B",IFERROR(INDEX('B Made'!$G$5:$G$104,MATCH($A38,'B Made'!$A$5:$A$104,0)),0),IF($B38="C",IFERROR(INDEX('C Kits'!$E$5:$E$104,MATCH($A38,'C Kits'!$A$5:$A$104,0)),0),0)))</f>
        <v/>
      </c>
      <c r="H38" s="5" t="str">
        <f aca="false">IF($A38="","",$D38*$G38)</f>
        <v/>
      </c>
      <c r="I38" s="6" t="str">
        <f aca="false">IF($B38&lt;&gt;"B","",IFERROR(IF($D38=0,0,FLOOR(MAX(0,INDEX('A Loose'!$K$5:$K$104,MATCH($C38,'A Loose'!$A$5:$A$104,0)))/$D38,1)),0))</f>
        <v/>
      </c>
      <c r="J38" s="6" t="str">
        <f aca="false">IF($B38&lt;&gt;"C","",IFERROR(IF($E38="B",IF($D38=0,0,FLOOR(MAX(0,INDEX('B Made'!$F$5:$F$104,MATCH($C38,'B Made'!$A$5:$A$104,0)))/$D38,1)),IF($O38=0,0,FLOOR(MAX(0,INDEX('A Loose'!$K$5:$K$104,MATCH($C38,'A Loose'!$A$5:$A$104,0)))/$O38,1))),0))</f>
        <v/>
      </c>
      <c r="K38" s="6" t="str">
        <f aca="false">IF($B38&lt;&gt;"C","",IFERROR(IF($E38="B",IF($D38=0,0,FLOOR(MAX(0,INDEX('B Made'!$I$5:$I$104,MATCH($C38,'B Made'!$A$5:$A$104,0)))/$D38,1)),IF($O38=0,0,FLOOR(MAX(0,INDEX('A Loose'!$K$5:$K$104,MATCH($C38,'A Loose'!$A$5:$A$104,0)))/$O38,1))),0))</f>
        <v/>
      </c>
      <c r="L38" s="6" t="str">
        <f aca="false">IF($B38&lt;&gt;"C","",$A38&amp;"|"&amp;$K38)</f>
        <v/>
      </c>
      <c r="M38" s="6" t="str">
        <f aca="false">IF($B38&lt;&gt;"B","",$A38&amp;"|"&amp;$I38)</f>
        <v/>
      </c>
      <c r="N38" s="6" t="str">
        <f aca="false">IF($C38="","",COUNTIFS(Recipes!$C$5:$C$104,$C38,Recipes!$B$5:$B$104,"C"))</f>
        <v/>
      </c>
      <c r="O38" s="6" t="str">
        <f aca="false">IF(OR($B38&lt;&gt;"C",$E38&lt;&gt;"A"),"",$D38+SUMPRODUCT((Recipes!$A$5:$A$104=$A38)*(Recipes!$B$5:$B$104="C")*(Recipes!$E$5:$E$104="B")*Recipes!$D$5:$D$104*SUMIFS(Recipes!$D$5:$D$104,Recipes!$A$5:$A$104,Recipes!$C$5:$C$104,Recipes!$B$5:$B$104,"B",Recipes!$C$5:$C$104,$C38)))</f>
        <v/>
      </c>
    </row>
    <row r="39" customFormat="false" ht="15" hidden="false" customHeight="false" outlineLevel="0" collapsed="false">
      <c r="A39" s="4"/>
      <c r="B39" s="4"/>
      <c r="C39" s="4"/>
      <c r="D39" s="4"/>
      <c r="E39" s="5" t="str">
        <f aca="false">IF($C39="","",IF(ISNUMBER(MATCH($C39,'A Loose'!$A$5:$A$104,0)),"A",IF(ISNUMBER(MATCH($C39,'B Made'!$A$5:$A$104,0)),"B","?? unknown code")))</f>
        <v/>
      </c>
      <c r="F39" s="5" t="str">
        <f aca="false">IF($C39="","",IFERROR(IF($E39="A",INDEX('A Loose'!$B$5:$B$104,MATCH($C39,'A Loose'!$A$5:$A$104,0)),IF($E39="B",INDEX('B Made'!$B$5:$B$104,MATCH($C39,'B Made'!$A$5:$A$104,0)),"")),""))</f>
        <v/>
      </c>
      <c r="G39" s="6" t="str">
        <f aca="false">IF($A39="","",IF($B39="B",IFERROR(INDEX('B Made'!$G$5:$G$104,MATCH($A39,'B Made'!$A$5:$A$104,0)),0),IF($B39="C",IFERROR(INDEX('C Kits'!$E$5:$E$104,MATCH($A39,'C Kits'!$A$5:$A$104,0)),0),0)))</f>
        <v/>
      </c>
      <c r="H39" s="5" t="str">
        <f aca="false">IF($A39="","",$D39*$G39)</f>
        <v/>
      </c>
      <c r="I39" s="6" t="str">
        <f aca="false">IF($B39&lt;&gt;"B","",IFERROR(IF($D39=0,0,FLOOR(MAX(0,INDEX('A Loose'!$K$5:$K$104,MATCH($C39,'A Loose'!$A$5:$A$104,0)))/$D39,1)),0))</f>
        <v/>
      </c>
      <c r="J39" s="6" t="str">
        <f aca="false">IF($B39&lt;&gt;"C","",IFERROR(IF($E39="B",IF($D39=0,0,FLOOR(MAX(0,INDEX('B Made'!$F$5:$F$104,MATCH($C39,'B Made'!$A$5:$A$104,0)))/$D39,1)),IF($O39=0,0,FLOOR(MAX(0,INDEX('A Loose'!$K$5:$K$104,MATCH($C39,'A Loose'!$A$5:$A$104,0)))/$O39,1))),0))</f>
        <v/>
      </c>
      <c r="K39" s="6" t="str">
        <f aca="false">IF($B39&lt;&gt;"C","",IFERROR(IF($E39="B",IF($D39=0,0,FLOOR(MAX(0,INDEX('B Made'!$I$5:$I$104,MATCH($C39,'B Made'!$A$5:$A$104,0)))/$D39,1)),IF($O39=0,0,FLOOR(MAX(0,INDEX('A Loose'!$K$5:$K$104,MATCH($C39,'A Loose'!$A$5:$A$104,0)))/$O39,1))),0))</f>
        <v/>
      </c>
      <c r="L39" s="6" t="str">
        <f aca="false">IF($B39&lt;&gt;"C","",$A39&amp;"|"&amp;$K39)</f>
        <v/>
      </c>
      <c r="M39" s="6" t="str">
        <f aca="false">IF($B39&lt;&gt;"B","",$A39&amp;"|"&amp;$I39)</f>
        <v/>
      </c>
      <c r="N39" s="6" t="str">
        <f aca="false">IF($C39="","",COUNTIFS(Recipes!$C$5:$C$104,$C39,Recipes!$B$5:$B$104,"C"))</f>
        <v/>
      </c>
      <c r="O39" s="6" t="str">
        <f aca="false">IF(OR($B39&lt;&gt;"C",$E39&lt;&gt;"A"),"",$D39+SUMPRODUCT((Recipes!$A$5:$A$104=$A39)*(Recipes!$B$5:$B$104="C")*(Recipes!$E$5:$E$104="B")*Recipes!$D$5:$D$104*SUMIFS(Recipes!$D$5:$D$104,Recipes!$A$5:$A$104,Recipes!$C$5:$C$104,Recipes!$B$5:$B$104,"B",Recipes!$C$5:$C$104,$C39)))</f>
        <v/>
      </c>
    </row>
    <row r="40" customFormat="false" ht="15" hidden="false" customHeight="false" outlineLevel="0" collapsed="false">
      <c r="A40" s="4"/>
      <c r="B40" s="4"/>
      <c r="C40" s="4"/>
      <c r="D40" s="4"/>
      <c r="E40" s="5" t="str">
        <f aca="false">IF($C40="","",IF(ISNUMBER(MATCH($C40,'A Loose'!$A$5:$A$104,0)),"A",IF(ISNUMBER(MATCH($C40,'B Made'!$A$5:$A$104,0)),"B","?? unknown code")))</f>
        <v/>
      </c>
      <c r="F40" s="5" t="str">
        <f aca="false">IF($C40="","",IFERROR(IF($E40="A",INDEX('A Loose'!$B$5:$B$104,MATCH($C40,'A Loose'!$A$5:$A$104,0)),IF($E40="B",INDEX('B Made'!$B$5:$B$104,MATCH($C40,'B Made'!$A$5:$A$104,0)),"")),""))</f>
        <v/>
      </c>
      <c r="G40" s="6" t="str">
        <f aca="false">IF($A40="","",IF($B40="B",IFERROR(INDEX('B Made'!$G$5:$G$104,MATCH($A40,'B Made'!$A$5:$A$104,0)),0),IF($B40="C",IFERROR(INDEX('C Kits'!$E$5:$E$104,MATCH($A40,'C Kits'!$A$5:$A$104,0)),0),0)))</f>
        <v/>
      </c>
      <c r="H40" s="5" t="str">
        <f aca="false">IF($A40="","",$D40*$G40)</f>
        <v/>
      </c>
      <c r="I40" s="6" t="str">
        <f aca="false">IF($B40&lt;&gt;"B","",IFERROR(IF($D40=0,0,FLOOR(MAX(0,INDEX('A Loose'!$K$5:$K$104,MATCH($C40,'A Loose'!$A$5:$A$104,0)))/$D40,1)),0))</f>
        <v/>
      </c>
      <c r="J40" s="6" t="str">
        <f aca="false">IF($B40&lt;&gt;"C","",IFERROR(IF($E40="B",IF($D40=0,0,FLOOR(MAX(0,INDEX('B Made'!$F$5:$F$104,MATCH($C40,'B Made'!$A$5:$A$104,0)))/$D40,1)),IF($O40=0,0,FLOOR(MAX(0,INDEX('A Loose'!$K$5:$K$104,MATCH($C40,'A Loose'!$A$5:$A$104,0)))/$O40,1))),0))</f>
        <v/>
      </c>
      <c r="K40" s="6" t="str">
        <f aca="false">IF($B40&lt;&gt;"C","",IFERROR(IF($E40="B",IF($D40=0,0,FLOOR(MAX(0,INDEX('B Made'!$I$5:$I$104,MATCH($C40,'B Made'!$A$5:$A$104,0)))/$D40,1)),IF($O40=0,0,FLOOR(MAX(0,INDEX('A Loose'!$K$5:$K$104,MATCH($C40,'A Loose'!$A$5:$A$104,0)))/$O40,1))),0))</f>
        <v/>
      </c>
      <c r="L40" s="6" t="str">
        <f aca="false">IF($B40&lt;&gt;"C","",$A40&amp;"|"&amp;$K40)</f>
        <v/>
      </c>
      <c r="M40" s="6" t="str">
        <f aca="false">IF($B40&lt;&gt;"B","",$A40&amp;"|"&amp;$I40)</f>
        <v/>
      </c>
      <c r="N40" s="6" t="str">
        <f aca="false">IF($C40="","",COUNTIFS(Recipes!$C$5:$C$104,$C40,Recipes!$B$5:$B$104,"C"))</f>
        <v/>
      </c>
      <c r="O40" s="6" t="str">
        <f aca="false">IF(OR($B40&lt;&gt;"C",$E40&lt;&gt;"A"),"",$D40+SUMPRODUCT((Recipes!$A$5:$A$104=$A40)*(Recipes!$B$5:$B$104="C")*(Recipes!$E$5:$E$104="B")*Recipes!$D$5:$D$104*SUMIFS(Recipes!$D$5:$D$104,Recipes!$A$5:$A$104,Recipes!$C$5:$C$104,Recipes!$B$5:$B$104,"B",Recipes!$C$5:$C$104,$C40)))</f>
        <v/>
      </c>
    </row>
    <row r="41" customFormat="false" ht="15" hidden="false" customHeight="false" outlineLevel="0" collapsed="false">
      <c r="A41" s="4"/>
      <c r="B41" s="4"/>
      <c r="C41" s="4"/>
      <c r="D41" s="4"/>
      <c r="E41" s="5" t="str">
        <f aca="false">IF($C41="","",IF(ISNUMBER(MATCH($C41,'A Loose'!$A$5:$A$104,0)),"A",IF(ISNUMBER(MATCH($C41,'B Made'!$A$5:$A$104,0)),"B","?? unknown code")))</f>
        <v/>
      </c>
      <c r="F41" s="5" t="str">
        <f aca="false">IF($C41="","",IFERROR(IF($E41="A",INDEX('A Loose'!$B$5:$B$104,MATCH($C41,'A Loose'!$A$5:$A$104,0)),IF($E41="B",INDEX('B Made'!$B$5:$B$104,MATCH($C41,'B Made'!$A$5:$A$104,0)),"")),""))</f>
        <v/>
      </c>
      <c r="G41" s="6" t="str">
        <f aca="false">IF($A41="","",IF($B41="B",IFERROR(INDEX('B Made'!$G$5:$G$104,MATCH($A41,'B Made'!$A$5:$A$104,0)),0),IF($B41="C",IFERROR(INDEX('C Kits'!$E$5:$E$104,MATCH($A41,'C Kits'!$A$5:$A$104,0)),0),0)))</f>
        <v/>
      </c>
      <c r="H41" s="5" t="str">
        <f aca="false">IF($A41="","",$D41*$G41)</f>
        <v/>
      </c>
      <c r="I41" s="6" t="str">
        <f aca="false">IF($B41&lt;&gt;"B","",IFERROR(IF($D41=0,0,FLOOR(MAX(0,INDEX('A Loose'!$K$5:$K$104,MATCH($C41,'A Loose'!$A$5:$A$104,0)))/$D41,1)),0))</f>
        <v/>
      </c>
      <c r="J41" s="6" t="str">
        <f aca="false">IF($B41&lt;&gt;"C","",IFERROR(IF($E41="B",IF($D41=0,0,FLOOR(MAX(0,INDEX('B Made'!$F$5:$F$104,MATCH($C41,'B Made'!$A$5:$A$104,0)))/$D41,1)),IF($O41=0,0,FLOOR(MAX(0,INDEX('A Loose'!$K$5:$K$104,MATCH($C41,'A Loose'!$A$5:$A$104,0)))/$O41,1))),0))</f>
        <v/>
      </c>
      <c r="K41" s="6" t="str">
        <f aca="false">IF($B41&lt;&gt;"C","",IFERROR(IF($E41="B",IF($D41=0,0,FLOOR(MAX(0,INDEX('B Made'!$I$5:$I$104,MATCH($C41,'B Made'!$A$5:$A$104,0)))/$D41,1)),IF($O41=0,0,FLOOR(MAX(0,INDEX('A Loose'!$K$5:$K$104,MATCH($C41,'A Loose'!$A$5:$A$104,0)))/$O41,1))),0))</f>
        <v/>
      </c>
      <c r="L41" s="6" t="str">
        <f aca="false">IF($B41&lt;&gt;"C","",$A41&amp;"|"&amp;$K41)</f>
        <v/>
      </c>
      <c r="M41" s="6" t="str">
        <f aca="false">IF($B41&lt;&gt;"B","",$A41&amp;"|"&amp;$I41)</f>
        <v/>
      </c>
      <c r="N41" s="6" t="str">
        <f aca="false">IF($C41="","",COUNTIFS(Recipes!$C$5:$C$104,$C41,Recipes!$B$5:$B$104,"C"))</f>
        <v/>
      </c>
      <c r="O41" s="6" t="str">
        <f aca="false">IF(OR($B41&lt;&gt;"C",$E41&lt;&gt;"A"),"",$D41+SUMPRODUCT((Recipes!$A$5:$A$104=$A41)*(Recipes!$B$5:$B$104="C")*(Recipes!$E$5:$E$104="B")*Recipes!$D$5:$D$104*SUMIFS(Recipes!$D$5:$D$104,Recipes!$A$5:$A$104,Recipes!$C$5:$C$104,Recipes!$B$5:$B$104,"B",Recipes!$C$5:$C$104,$C41)))</f>
        <v/>
      </c>
    </row>
    <row r="42" customFormat="false" ht="15" hidden="false" customHeight="false" outlineLevel="0" collapsed="false">
      <c r="A42" s="4"/>
      <c r="B42" s="4"/>
      <c r="C42" s="4"/>
      <c r="D42" s="4"/>
      <c r="E42" s="5" t="str">
        <f aca="false">IF($C42="","",IF(ISNUMBER(MATCH($C42,'A Loose'!$A$5:$A$104,0)),"A",IF(ISNUMBER(MATCH($C42,'B Made'!$A$5:$A$104,0)),"B","?? unknown code")))</f>
        <v/>
      </c>
      <c r="F42" s="5" t="str">
        <f aca="false">IF($C42="","",IFERROR(IF($E42="A",INDEX('A Loose'!$B$5:$B$104,MATCH($C42,'A Loose'!$A$5:$A$104,0)),IF($E42="B",INDEX('B Made'!$B$5:$B$104,MATCH($C42,'B Made'!$A$5:$A$104,0)),"")),""))</f>
        <v/>
      </c>
      <c r="G42" s="6" t="str">
        <f aca="false">IF($A42="","",IF($B42="B",IFERROR(INDEX('B Made'!$G$5:$G$104,MATCH($A42,'B Made'!$A$5:$A$104,0)),0),IF($B42="C",IFERROR(INDEX('C Kits'!$E$5:$E$104,MATCH($A42,'C Kits'!$A$5:$A$104,0)),0),0)))</f>
        <v/>
      </c>
      <c r="H42" s="5" t="str">
        <f aca="false">IF($A42="","",$D42*$G42)</f>
        <v/>
      </c>
      <c r="I42" s="6" t="str">
        <f aca="false">IF($B42&lt;&gt;"B","",IFERROR(IF($D42=0,0,FLOOR(MAX(0,INDEX('A Loose'!$K$5:$K$104,MATCH($C42,'A Loose'!$A$5:$A$104,0)))/$D42,1)),0))</f>
        <v/>
      </c>
      <c r="J42" s="6" t="str">
        <f aca="false">IF($B42&lt;&gt;"C","",IFERROR(IF($E42="B",IF($D42=0,0,FLOOR(MAX(0,INDEX('B Made'!$F$5:$F$104,MATCH($C42,'B Made'!$A$5:$A$104,0)))/$D42,1)),IF($O42=0,0,FLOOR(MAX(0,INDEX('A Loose'!$K$5:$K$104,MATCH($C42,'A Loose'!$A$5:$A$104,0)))/$O42,1))),0))</f>
        <v/>
      </c>
      <c r="K42" s="6" t="str">
        <f aca="false">IF($B42&lt;&gt;"C","",IFERROR(IF($E42="B",IF($D42=0,0,FLOOR(MAX(0,INDEX('B Made'!$I$5:$I$104,MATCH($C42,'B Made'!$A$5:$A$104,0)))/$D42,1)),IF($O42=0,0,FLOOR(MAX(0,INDEX('A Loose'!$K$5:$K$104,MATCH($C42,'A Loose'!$A$5:$A$104,0)))/$O42,1))),0))</f>
        <v/>
      </c>
      <c r="L42" s="6" t="str">
        <f aca="false">IF($B42&lt;&gt;"C","",$A42&amp;"|"&amp;$K42)</f>
        <v/>
      </c>
      <c r="M42" s="6" t="str">
        <f aca="false">IF($B42&lt;&gt;"B","",$A42&amp;"|"&amp;$I42)</f>
        <v/>
      </c>
      <c r="N42" s="6" t="str">
        <f aca="false">IF($C42="","",COUNTIFS(Recipes!$C$5:$C$104,$C42,Recipes!$B$5:$B$104,"C"))</f>
        <v/>
      </c>
      <c r="O42" s="6" t="str">
        <f aca="false">IF(OR($B42&lt;&gt;"C",$E42&lt;&gt;"A"),"",$D42+SUMPRODUCT((Recipes!$A$5:$A$104=$A42)*(Recipes!$B$5:$B$104="C")*(Recipes!$E$5:$E$104="B")*Recipes!$D$5:$D$104*SUMIFS(Recipes!$D$5:$D$104,Recipes!$A$5:$A$104,Recipes!$C$5:$C$104,Recipes!$B$5:$B$104,"B",Recipes!$C$5:$C$104,$C42)))</f>
        <v/>
      </c>
    </row>
    <row r="43" customFormat="false" ht="15" hidden="false" customHeight="false" outlineLevel="0" collapsed="false">
      <c r="A43" s="4"/>
      <c r="B43" s="4"/>
      <c r="C43" s="4"/>
      <c r="D43" s="4"/>
      <c r="E43" s="5" t="str">
        <f aca="false">IF($C43="","",IF(ISNUMBER(MATCH($C43,'A Loose'!$A$5:$A$104,0)),"A",IF(ISNUMBER(MATCH($C43,'B Made'!$A$5:$A$104,0)),"B","?? unknown code")))</f>
        <v/>
      </c>
      <c r="F43" s="5" t="str">
        <f aca="false">IF($C43="","",IFERROR(IF($E43="A",INDEX('A Loose'!$B$5:$B$104,MATCH($C43,'A Loose'!$A$5:$A$104,0)),IF($E43="B",INDEX('B Made'!$B$5:$B$104,MATCH($C43,'B Made'!$A$5:$A$104,0)),"")),""))</f>
        <v/>
      </c>
      <c r="G43" s="6" t="str">
        <f aca="false">IF($A43="","",IF($B43="B",IFERROR(INDEX('B Made'!$G$5:$G$104,MATCH($A43,'B Made'!$A$5:$A$104,0)),0),IF($B43="C",IFERROR(INDEX('C Kits'!$E$5:$E$104,MATCH($A43,'C Kits'!$A$5:$A$104,0)),0),0)))</f>
        <v/>
      </c>
      <c r="H43" s="5" t="str">
        <f aca="false">IF($A43="","",$D43*$G43)</f>
        <v/>
      </c>
      <c r="I43" s="6" t="str">
        <f aca="false">IF($B43&lt;&gt;"B","",IFERROR(IF($D43=0,0,FLOOR(MAX(0,INDEX('A Loose'!$K$5:$K$104,MATCH($C43,'A Loose'!$A$5:$A$104,0)))/$D43,1)),0))</f>
        <v/>
      </c>
      <c r="J43" s="6" t="str">
        <f aca="false">IF($B43&lt;&gt;"C","",IFERROR(IF($E43="B",IF($D43=0,0,FLOOR(MAX(0,INDEX('B Made'!$F$5:$F$104,MATCH($C43,'B Made'!$A$5:$A$104,0)))/$D43,1)),IF($O43=0,0,FLOOR(MAX(0,INDEX('A Loose'!$K$5:$K$104,MATCH($C43,'A Loose'!$A$5:$A$104,0)))/$O43,1))),0))</f>
        <v/>
      </c>
      <c r="K43" s="6" t="str">
        <f aca="false">IF($B43&lt;&gt;"C","",IFERROR(IF($E43="B",IF($D43=0,0,FLOOR(MAX(0,INDEX('B Made'!$I$5:$I$104,MATCH($C43,'B Made'!$A$5:$A$104,0)))/$D43,1)),IF($O43=0,0,FLOOR(MAX(0,INDEX('A Loose'!$K$5:$K$104,MATCH($C43,'A Loose'!$A$5:$A$104,0)))/$O43,1))),0))</f>
        <v/>
      </c>
      <c r="L43" s="6" t="str">
        <f aca="false">IF($B43&lt;&gt;"C","",$A43&amp;"|"&amp;$K43)</f>
        <v/>
      </c>
      <c r="M43" s="6" t="str">
        <f aca="false">IF($B43&lt;&gt;"B","",$A43&amp;"|"&amp;$I43)</f>
        <v/>
      </c>
      <c r="N43" s="6" t="str">
        <f aca="false">IF($C43="","",COUNTIFS(Recipes!$C$5:$C$104,$C43,Recipes!$B$5:$B$104,"C"))</f>
        <v/>
      </c>
      <c r="O43" s="6" t="str">
        <f aca="false">IF(OR($B43&lt;&gt;"C",$E43&lt;&gt;"A"),"",$D43+SUMPRODUCT((Recipes!$A$5:$A$104=$A43)*(Recipes!$B$5:$B$104="C")*(Recipes!$E$5:$E$104="B")*Recipes!$D$5:$D$104*SUMIFS(Recipes!$D$5:$D$104,Recipes!$A$5:$A$104,Recipes!$C$5:$C$104,Recipes!$B$5:$B$104,"B",Recipes!$C$5:$C$104,$C43)))</f>
        <v/>
      </c>
    </row>
    <row r="44" customFormat="false" ht="15" hidden="false" customHeight="false" outlineLevel="0" collapsed="false">
      <c r="A44" s="4"/>
      <c r="B44" s="4"/>
      <c r="C44" s="4"/>
      <c r="D44" s="4"/>
      <c r="E44" s="5" t="str">
        <f aca="false">IF($C44="","",IF(ISNUMBER(MATCH($C44,'A Loose'!$A$5:$A$104,0)),"A",IF(ISNUMBER(MATCH($C44,'B Made'!$A$5:$A$104,0)),"B","?? unknown code")))</f>
        <v/>
      </c>
      <c r="F44" s="5" t="str">
        <f aca="false">IF($C44="","",IFERROR(IF($E44="A",INDEX('A Loose'!$B$5:$B$104,MATCH($C44,'A Loose'!$A$5:$A$104,0)),IF($E44="B",INDEX('B Made'!$B$5:$B$104,MATCH($C44,'B Made'!$A$5:$A$104,0)),"")),""))</f>
        <v/>
      </c>
      <c r="G44" s="6" t="str">
        <f aca="false">IF($A44="","",IF($B44="B",IFERROR(INDEX('B Made'!$G$5:$G$104,MATCH($A44,'B Made'!$A$5:$A$104,0)),0),IF($B44="C",IFERROR(INDEX('C Kits'!$E$5:$E$104,MATCH($A44,'C Kits'!$A$5:$A$104,0)),0),0)))</f>
        <v/>
      </c>
      <c r="H44" s="5" t="str">
        <f aca="false">IF($A44="","",$D44*$G44)</f>
        <v/>
      </c>
      <c r="I44" s="6" t="str">
        <f aca="false">IF($B44&lt;&gt;"B","",IFERROR(IF($D44=0,0,FLOOR(MAX(0,INDEX('A Loose'!$K$5:$K$104,MATCH($C44,'A Loose'!$A$5:$A$104,0)))/$D44,1)),0))</f>
        <v/>
      </c>
      <c r="J44" s="6" t="str">
        <f aca="false">IF($B44&lt;&gt;"C","",IFERROR(IF($E44="B",IF($D44=0,0,FLOOR(MAX(0,INDEX('B Made'!$F$5:$F$104,MATCH($C44,'B Made'!$A$5:$A$104,0)))/$D44,1)),IF($O44=0,0,FLOOR(MAX(0,INDEX('A Loose'!$K$5:$K$104,MATCH($C44,'A Loose'!$A$5:$A$104,0)))/$O44,1))),0))</f>
        <v/>
      </c>
      <c r="K44" s="6" t="str">
        <f aca="false">IF($B44&lt;&gt;"C","",IFERROR(IF($E44="B",IF($D44=0,0,FLOOR(MAX(0,INDEX('B Made'!$I$5:$I$104,MATCH($C44,'B Made'!$A$5:$A$104,0)))/$D44,1)),IF($O44=0,0,FLOOR(MAX(0,INDEX('A Loose'!$K$5:$K$104,MATCH($C44,'A Loose'!$A$5:$A$104,0)))/$O44,1))),0))</f>
        <v/>
      </c>
      <c r="L44" s="6" t="str">
        <f aca="false">IF($B44&lt;&gt;"C","",$A44&amp;"|"&amp;$K44)</f>
        <v/>
      </c>
      <c r="M44" s="6" t="str">
        <f aca="false">IF($B44&lt;&gt;"B","",$A44&amp;"|"&amp;$I44)</f>
        <v/>
      </c>
      <c r="N44" s="6" t="str">
        <f aca="false">IF($C44="","",COUNTIFS(Recipes!$C$5:$C$104,$C44,Recipes!$B$5:$B$104,"C"))</f>
        <v/>
      </c>
      <c r="O44" s="6" t="str">
        <f aca="false">IF(OR($B44&lt;&gt;"C",$E44&lt;&gt;"A"),"",$D44+SUMPRODUCT((Recipes!$A$5:$A$104=$A44)*(Recipes!$B$5:$B$104="C")*(Recipes!$E$5:$E$104="B")*Recipes!$D$5:$D$104*SUMIFS(Recipes!$D$5:$D$104,Recipes!$A$5:$A$104,Recipes!$C$5:$C$104,Recipes!$B$5:$B$104,"B",Recipes!$C$5:$C$104,$C44)))</f>
        <v/>
      </c>
    </row>
    <row r="45" customFormat="false" ht="15" hidden="false" customHeight="false" outlineLevel="0" collapsed="false">
      <c r="A45" s="4"/>
      <c r="B45" s="4"/>
      <c r="C45" s="4"/>
      <c r="D45" s="4"/>
      <c r="E45" s="5" t="str">
        <f aca="false">IF($C45="","",IF(ISNUMBER(MATCH($C45,'A Loose'!$A$5:$A$104,0)),"A",IF(ISNUMBER(MATCH($C45,'B Made'!$A$5:$A$104,0)),"B","?? unknown code")))</f>
        <v/>
      </c>
      <c r="F45" s="5" t="str">
        <f aca="false">IF($C45="","",IFERROR(IF($E45="A",INDEX('A Loose'!$B$5:$B$104,MATCH($C45,'A Loose'!$A$5:$A$104,0)),IF($E45="B",INDEX('B Made'!$B$5:$B$104,MATCH($C45,'B Made'!$A$5:$A$104,0)),"")),""))</f>
        <v/>
      </c>
      <c r="G45" s="6" t="str">
        <f aca="false">IF($A45="","",IF($B45="B",IFERROR(INDEX('B Made'!$G$5:$G$104,MATCH($A45,'B Made'!$A$5:$A$104,0)),0),IF($B45="C",IFERROR(INDEX('C Kits'!$E$5:$E$104,MATCH($A45,'C Kits'!$A$5:$A$104,0)),0),0)))</f>
        <v/>
      </c>
      <c r="H45" s="5" t="str">
        <f aca="false">IF($A45="","",$D45*$G45)</f>
        <v/>
      </c>
      <c r="I45" s="6" t="str">
        <f aca="false">IF($B45&lt;&gt;"B","",IFERROR(IF($D45=0,0,FLOOR(MAX(0,INDEX('A Loose'!$K$5:$K$104,MATCH($C45,'A Loose'!$A$5:$A$104,0)))/$D45,1)),0))</f>
        <v/>
      </c>
      <c r="J45" s="6" t="str">
        <f aca="false">IF($B45&lt;&gt;"C","",IFERROR(IF($E45="B",IF($D45=0,0,FLOOR(MAX(0,INDEX('B Made'!$F$5:$F$104,MATCH($C45,'B Made'!$A$5:$A$104,0)))/$D45,1)),IF($O45=0,0,FLOOR(MAX(0,INDEX('A Loose'!$K$5:$K$104,MATCH($C45,'A Loose'!$A$5:$A$104,0)))/$O45,1))),0))</f>
        <v/>
      </c>
      <c r="K45" s="6" t="str">
        <f aca="false">IF($B45&lt;&gt;"C","",IFERROR(IF($E45="B",IF($D45=0,0,FLOOR(MAX(0,INDEX('B Made'!$I$5:$I$104,MATCH($C45,'B Made'!$A$5:$A$104,0)))/$D45,1)),IF($O45=0,0,FLOOR(MAX(0,INDEX('A Loose'!$K$5:$K$104,MATCH($C45,'A Loose'!$A$5:$A$104,0)))/$O45,1))),0))</f>
        <v/>
      </c>
      <c r="L45" s="6" t="str">
        <f aca="false">IF($B45&lt;&gt;"C","",$A45&amp;"|"&amp;$K45)</f>
        <v/>
      </c>
      <c r="M45" s="6" t="str">
        <f aca="false">IF($B45&lt;&gt;"B","",$A45&amp;"|"&amp;$I45)</f>
        <v/>
      </c>
      <c r="N45" s="6" t="str">
        <f aca="false">IF($C45="","",COUNTIFS(Recipes!$C$5:$C$104,$C45,Recipes!$B$5:$B$104,"C"))</f>
        <v/>
      </c>
      <c r="O45" s="6" t="str">
        <f aca="false">IF(OR($B45&lt;&gt;"C",$E45&lt;&gt;"A"),"",$D45+SUMPRODUCT((Recipes!$A$5:$A$104=$A45)*(Recipes!$B$5:$B$104="C")*(Recipes!$E$5:$E$104="B")*Recipes!$D$5:$D$104*SUMIFS(Recipes!$D$5:$D$104,Recipes!$A$5:$A$104,Recipes!$C$5:$C$104,Recipes!$B$5:$B$104,"B",Recipes!$C$5:$C$104,$C45)))</f>
        <v/>
      </c>
    </row>
    <row r="46" customFormat="false" ht="15" hidden="false" customHeight="false" outlineLevel="0" collapsed="false">
      <c r="A46" s="4"/>
      <c r="B46" s="4"/>
      <c r="C46" s="4"/>
      <c r="D46" s="4"/>
      <c r="E46" s="5" t="str">
        <f aca="false">IF($C46="","",IF(ISNUMBER(MATCH($C46,'A Loose'!$A$5:$A$104,0)),"A",IF(ISNUMBER(MATCH($C46,'B Made'!$A$5:$A$104,0)),"B","?? unknown code")))</f>
        <v/>
      </c>
      <c r="F46" s="5" t="str">
        <f aca="false">IF($C46="","",IFERROR(IF($E46="A",INDEX('A Loose'!$B$5:$B$104,MATCH($C46,'A Loose'!$A$5:$A$104,0)),IF($E46="B",INDEX('B Made'!$B$5:$B$104,MATCH($C46,'B Made'!$A$5:$A$104,0)),"")),""))</f>
        <v/>
      </c>
      <c r="G46" s="6" t="str">
        <f aca="false">IF($A46="","",IF($B46="B",IFERROR(INDEX('B Made'!$G$5:$G$104,MATCH($A46,'B Made'!$A$5:$A$104,0)),0),IF($B46="C",IFERROR(INDEX('C Kits'!$E$5:$E$104,MATCH($A46,'C Kits'!$A$5:$A$104,0)),0),0)))</f>
        <v/>
      </c>
      <c r="H46" s="5" t="str">
        <f aca="false">IF($A46="","",$D46*$G46)</f>
        <v/>
      </c>
      <c r="I46" s="6" t="str">
        <f aca="false">IF($B46&lt;&gt;"B","",IFERROR(IF($D46=0,0,FLOOR(MAX(0,INDEX('A Loose'!$K$5:$K$104,MATCH($C46,'A Loose'!$A$5:$A$104,0)))/$D46,1)),0))</f>
        <v/>
      </c>
      <c r="J46" s="6" t="str">
        <f aca="false">IF($B46&lt;&gt;"C","",IFERROR(IF($E46="B",IF($D46=0,0,FLOOR(MAX(0,INDEX('B Made'!$F$5:$F$104,MATCH($C46,'B Made'!$A$5:$A$104,0)))/$D46,1)),IF($O46=0,0,FLOOR(MAX(0,INDEX('A Loose'!$K$5:$K$104,MATCH($C46,'A Loose'!$A$5:$A$104,0)))/$O46,1))),0))</f>
        <v/>
      </c>
      <c r="K46" s="6" t="str">
        <f aca="false">IF($B46&lt;&gt;"C","",IFERROR(IF($E46="B",IF($D46=0,0,FLOOR(MAX(0,INDEX('B Made'!$I$5:$I$104,MATCH($C46,'B Made'!$A$5:$A$104,0)))/$D46,1)),IF($O46=0,0,FLOOR(MAX(0,INDEX('A Loose'!$K$5:$K$104,MATCH($C46,'A Loose'!$A$5:$A$104,0)))/$O46,1))),0))</f>
        <v/>
      </c>
      <c r="L46" s="6" t="str">
        <f aca="false">IF($B46&lt;&gt;"C","",$A46&amp;"|"&amp;$K46)</f>
        <v/>
      </c>
      <c r="M46" s="6" t="str">
        <f aca="false">IF($B46&lt;&gt;"B","",$A46&amp;"|"&amp;$I46)</f>
        <v/>
      </c>
      <c r="N46" s="6" t="str">
        <f aca="false">IF($C46="","",COUNTIFS(Recipes!$C$5:$C$104,$C46,Recipes!$B$5:$B$104,"C"))</f>
        <v/>
      </c>
      <c r="O46" s="6" t="str">
        <f aca="false">IF(OR($B46&lt;&gt;"C",$E46&lt;&gt;"A"),"",$D46+SUMPRODUCT((Recipes!$A$5:$A$104=$A46)*(Recipes!$B$5:$B$104="C")*(Recipes!$E$5:$E$104="B")*Recipes!$D$5:$D$104*SUMIFS(Recipes!$D$5:$D$104,Recipes!$A$5:$A$104,Recipes!$C$5:$C$104,Recipes!$B$5:$B$104,"B",Recipes!$C$5:$C$104,$C46)))</f>
        <v/>
      </c>
    </row>
    <row r="47" customFormat="false" ht="15" hidden="false" customHeight="false" outlineLevel="0" collapsed="false">
      <c r="A47" s="4"/>
      <c r="B47" s="4"/>
      <c r="C47" s="4"/>
      <c r="D47" s="4"/>
      <c r="E47" s="5" t="str">
        <f aca="false">IF($C47="","",IF(ISNUMBER(MATCH($C47,'A Loose'!$A$5:$A$104,0)),"A",IF(ISNUMBER(MATCH($C47,'B Made'!$A$5:$A$104,0)),"B","?? unknown code")))</f>
        <v/>
      </c>
      <c r="F47" s="5" t="str">
        <f aca="false">IF($C47="","",IFERROR(IF($E47="A",INDEX('A Loose'!$B$5:$B$104,MATCH($C47,'A Loose'!$A$5:$A$104,0)),IF($E47="B",INDEX('B Made'!$B$5:$B$104,MATCH($C47,'B Made'!$A$5:$A$104,0)),"")),""))</f>
        <v/>
      </c>
      <c r="G47" s="6" t="str">
        <f aca="false">IF($A47="","",IF($B47="B",IFERROR(INDEX('B Made'!$G$5:$G$104,MATCH($A47,'B Made'!$A$5:$A$104,0)),0),IF($B47="C",IFERROR(INDEX('C Kits'!$E$5:$E$104,MATCH($A47,'C Kits'!$A$5:$A$104,0)),0),0)))</f>
        <v/>
      </c>
      <c r="H47" s="5" t="str">
        <f aca="false">IF($A47="","",$D47*$G47)</f>
        <v/>
      </c>
      <c r="I47" s="6" t="str">
        <f aca="false">IF($B47&lt;&gt;"B","",IFERROR(IF($D47=0,0,FLOOR(MAX(0,INDEX('A Loose'!$K$5:$K$104,MATCH($C47,'A Loose'!$A$5:$A$104,0)))/$D47,1)),0))</f>
        <v/>
      </c>
      <c r="J47" s="6" t="str">
        <f aca="false">IF($B47&lt;&gt;"C","",IFERROR(IF($E47="B",IF($D47=0,0,FLOOR(MAX(0,INDEX('B Made'!$F$5:$F$104,MATCH($C47,'B Made'!$A$5:$A$104,0)))/$D47,1)),IF($O47=0,0,FLOOR(MAX(0,INDEX('A Loose'!$K$5:$K$104,MATCH($C47,'A Loose'!$A$5:$A$104,0)))/$O47,1))),0))</f>
        <v/>
      </c>
      <c r="K47" s="6" t="str">
        <f aca="false">IF($B47&lt;&gt;"C","",IFERROR(IF($E47="B",IF($D47=0,0,FLOOR(MAX(0,INDEX('B Made'!$I$5:$I$104,MATCH($C47,'B Made'!$A$5:$A$104,0)))/$D47,1)),IF($O47=0,0,FLOOR(MAX(0,INDEX('A Loose'!$K$5:$K$104,MATCH($C47,'A Loose'!$A$5:$A$104,0)))/$O47,1))),0))</f>
        <v/>
      </c>
      <c r="L47" s="6" t="str">
        <f aca="false">IF($B47&lt;&gt;"C","",$A47&amp;"|"&amp;$K47)</f>
        <v/>
      </c>
      <c r="M47" s="6" t="str">
        <f aca="false">IF($B47&lt;&gt;"B","",$A47&amp;"|"&amp;$I47)</f>
        <v/>
      </c>
      <c r="N47" s="6" t="str">
        <f aca="false">IF($C47="","",COUNTIFS(Recipes!$C$5:$C$104,$C47,Recipes!$B$5:$B$104,"C"))</f>
        <v/>
      </c>
      <c r="O47" s="6" t="str">
        <f aca="false">IF(OR($B47&lt;&gt;"C",$E47&lt;&gt;"A"),"",$D47+SUMPRODUCT((Recipes!$A$5:$A$104=$A47)*(Recipes!$B$5:$B$104="C")*(Recipes!$E$5:$E$104="B")*Recipes!$D$5:$D$104*SUMIFS(Recipes!$D$5:$D$104,Recipes!$A$5:$A$104,Recipes!$C$5:$C$104,Recipes!$B$5:$B$104,"B",Recipes!$C$5:$C$104,$C47)))</f>
        <v/>
      </c>
    </row>
    <row r="48" customFormat="false" ht="15" hidden="false" customHeight="false" outlineLevel="0" collapsed="false">
      <c r="A48" s="4"/>
      <c r="B48" s="4"/>
      <c r="C48" s="4"/>
      <c r="D48" s="4"/>
      <c r="E48" s="5" t="str">
        <f aca="false">IF($C48="","",IF(ISNUMBER(MATCH($C48,'A Loose'!$A$5:$A$104,0)),"A",IF(ISNUMBER(MATCH($C48,'B Made'!$A$5:$A$104,0)),"B","?? unknown code")))</f>
        <v/>
      </c>
      <c r="F48" s="5" t="str">
        <f aca="false">IF($C48="","",IFERROR(IF($E48="A",INDEX('A Loose'!$B$5:$B$104,MATCH($C48,'A Loose'!$A$5:$A$104,0)),IF($E48="B",INDEX('B Made'!$B$5:$B$104,MATCH($C48,'B Made'!$A$5:$A$104,0)),"")),""))</f>
        <v/>
      </c>
      <c r="G48" s="6" t="str">
        <f aca="false">IF($A48="","",IF($B48="B",IFERROR(INDEX('B Made'!$G$5:$G$104,MATCH($A48,'B Made'!$A$5:$A$104,0)),0),IF($B48="C",IFERROR(INDEX('C Kits'!$E$5:$E$104,MATCH($A48,'C Kits'!$A$5:$A$104,0)),0),0)))</f>
        <v/>
      </c>
      <c r="H48" s="5" t="str">
        <f aca="false">IF($A48="","",$D48*$G48)</f>
        <v/>
      </c>
      <c r="I48" s="6" t="str">
        <f aca="false">IF($B48&lt;&gt;"B","",IFERROR(IF($D48=0,0,FLOOR(MAX(0,INDEX('A Loose'!$K$5:$K$104,MATCH($C48,'A Loose'!$A$5:$A$104,0)))/$D48,1)),0))</f>
        <v/>
      </c>
      <c r="J48" s="6" t="str">
        <f aca="false">IF($B48&lt;&gt;"C","",IFERROR(IF($E48="B",IF($D48=0,0,FLOOR(MAX(0,INDEX('B Made'!$F$5:$F$104,MATCH($C48,'B Made'!$A$5:$A$104,0)))/$D48,1)),IF($O48=0,0,FLOOR(MAX(0,INDEX('A Loose'!$K$5:$K$104,MATCH($C48,'A Loose'!$A$5:$A$104,0)))/$O48,1))),0))</f>
        <v/>
      </c>
      <c r="K48" s="6" t="str">
        <f aca="false">IF($B48&lt;&gt;"C","",IFERROR(IF($E48="B",IF($D48=0,0,FLOOR(MAX(0,INDEX('B Made'!$I$5:$I$104,MATCH($C48,'B Made'!$A$5:$A$104,0)))/$D48,1)),IF($O48=0,0,FLOOR(MAX(0,INDEX('A Loose'!$K$5:$K$104,MATCH($C48,'A Loose'!$A$5:$A$104,0)))/$O48,1))),0))</f>
        <v/>
      </c>
      <c r="L48" s="6" t="str">
        <f aca="false">IF($B48&lt;&gt;"C","",$A48&amp;"|"&amp;$K48)</f>
        <v/>
      </c>
      <c r="M48" s="6" t="str">
        <f aca="false">IF($B48&lt;&gt;"B","",$A48&amp;"|"&amp;$I48)</f>
        <v/>
      </c>
      <c r="N48" s="6" t="str">
        <f aca="false">IF($C48="","",COUNTIFS(Recipes!$C$5:$C$104,$C48,Recipes!$B$5:$B$104,"C"))</f>
        <v/>
      </c>
      <c r="O48" s="6" t="str">
        <f aca="false">IF(OR($B48&lt;&gt;"C",$E48&lt;&gt;"A"),"",$D48+SUMPRODUCT((Recipes!$A$5:$A$104=$A48)*(Recipes!$B$5:$B$104="C")*(Recipes!$E$5:$E$104="B")*Recipes!$D$5:$D$104*SUMIFS(Recipes!$D$5:$D$104,Recipes!$A$5:$A$104,Recipes!$C$5:$C$104,Recipes!$B$5:$B$104,"B",Recipes!$C$5:$C$104,$C48)))</f>
        <v/>
      </c>
    </row>
    <row r="49" customFormat="false" ht="15" hidden="false" customHeight="false" outlineLevel="0" collapsed="false">
      <c r="A49" s="4"/>
      <c r="B49" s="4"/>
      <c r="C49" s="4"/>
      <c r="D49" s="4"/>
      <c r="E49" s="5" t="str">
        <f aca="false">IF($C49="","",IF(ISNUMBER(MATCH($C49,'A Loose'!$A$5:$A$104,0)),"A",IF(ISNUMBER(MATCH($C49,'B Made'!$A$5:$A$104,0)),"B","?? unknown code")))</f>
        <v/>
      </c>
      <c r="F49" s="5" t="str">
        <f aca="false">IF($C49="","",IFERROR(IF($E49="A",INDEX('A Loose'!$B$5:$B$104,MATCH($C49,'A Loose'!$A$5:$A$104,0)),IF($E49="B",INDEX('B Made'!$B$5:$B$104,MATCH($C49,'B Made'!$A$5:$A$104,0)),"")),""))</f>
        <v/>
      </c>
      <c r="G49" s="6" t="str">
        <f aca="false">IF($A49="","",IF($B49="B",IFERROR(INDEX('B Made'!$G$5:$G$104,MATCH($A49,'B Made'!$A$5:$A$104,0)),0),IF($B49="C",IFERROR(INDEX('C Kits'!$E$5:$E$104,MATCH($A49,'C Kits'!$A$5:$A$104,0)),0),0)))</f>
        <v/>
      </c>
      <c r="H49" s="5" t="str">
        <f aca="false">IF($A49="","",$D49*$G49)</f>
        <v/>
      </c>
      <c r="I49" s="6" t="str">
        <f aca="false">IF($B49&lt;&gt;"B","",IFERROR(IF($D49=0,0,FLOOR(MAX(0,INDEX('A Loose'!$K$5:$K$104,MATCH($C49,'A Loose'!$A$5:$A$104,0)))/$D49,1)),0))</f>
        <v/>
      </c>
      <c r="J49" s="6" t="str">
        <f aca="false">IF($B49&lt;&gt;"C","",IFERROR(IF($E49="B",IF($D49=0,0,FLOOR(MAX(0,INDEX('B Made'!$F$5:$F$104,MATCH($C49,'B Made'!$A$5:$A$104,0)))/$D49,1)),IF($O49=0,0,FLOOR(MAX(0,INDEX('A Loose'!$K$5:$K$104,MATCH($C49,'A Loose'!$A$5:$A$104,0)))/$O49,1))),0))</f>
        <v/>
      </c>
      <c r="K49" s="6" t="str">
        <f aca="false">IF($B49&lt;&gt;"C","",IFERROR(IF($E49="B",IF($D49=0,0,FLOOR(MAX(0,INDEX('B Made'!$I$5:$I$104,MATCH($C49,'B Made'!$A$5:$A$104,0)))/$D49,1)),IF($O49=0,0,FLOOR(MAX(0,INDEX('A Loose'!$K$5:$K$104,MATCH($C49,'A Loose'!$A$5:$A$104,0)))/$O49,1))),0))</f>
        <v/>
      </c>
      <c r="L49" s="6" t="str">
        <f aca="false">IF($B49&lt;&gt;"C","",$A49&amp;"|"&amp;$K49)</f>
        <v/>
      </c>
      <c r="M49" s="6" t="str">
        <f aca="false">IF($B49&lt;&gt;"B","",$A49&amp;"|"&amp;$I49)</f>
        <v/>
      </c>
      <c r="N49" s="6" t="str">
        <f aca="false">IF($C49="","",COUNTIFS(Recipes!$C$5:$C$104,$C49,Recipes!$B$5:$B$104,"C"))</f>
        <v/>
      </c>
      <c r="O49" s="6" t="str">
        <f aca="false">IF(OR($B49&lt;&gt;"C",$E49&lt;&gt;"A"),"",$D49+SUMPRODUCT((Recipes!$A$5:$A$104=$A49)*(Recipes!$B$5:$B$104="C")*(Recipes!$E$5:$E$104="B")*Recipes!$D$5:$D$104*SUMIFS(Recipes!$D$5:$D$104,Recipes!$A$5:$A$104,Recipes!$C$5:$C$104,Recipes!$B$5:$B$104,"B",Recipes!$C$5:$C$104,$C49)))</f>
        <v/>
      </c>
    </row>
    <row r="50" customFormat="false" ht="15" hidden="false" customHeight="false" outlineLevel="0" collapsed="false">
      <c r="A50" s="4"/>
      <c r="B50" s="4"/>
      <c r="C50" s="4"/>
      <c r="D50" s="4"/>
      <c r="E50" s="5" t="str">
        <f aca="false">IF($C50="","",IF(ISNUMBER(MATCH($C50,'A Loose'!$A$5:$A$104,0)),"A",IF(ISNUMBER(MATCH($C50,'B Made'!$A$5:$A$104,0)),"B","?? unknown code")))</f>
        <v/>
      </c>
      <c r="F50" s="5" t="str">
        <f aca="false">IF($C50="","",IFERROR(IF($E50="A",INDEX('A Loose'!$B$5:$B$104,MATCH($C50,'A Loose'!$A$5:$A$104,0)),IF($E50="B",INDEX('B Made'!$B$5:$B$104,MATCH($C50,'B Made'!$A$5:$A$104,0)),"")),""))</f>
        <v/>
      </c>
      <c r="G50" s="6" t="str">
        <f aca="false">IF($A50="","",IF($B50="B",IFERROR(INDEX('B Made'!$G$5:$G$104,MATCH($A50,'B Made'!$A$5:$A$104,0)),0),IF($B50="C",IFERROR(INDEX('C Kits'!$E$5:$E$104,MATCH($A50,'C Kits'!$A$5:$A$104,0)),0),0)))</f>
        <v/>
      </c>
      <c r="H50" s="5" t="str">
        <f aca="false">IF($A50="","",$D50*$G50)</f>
        <v/>
      </c>
      <c r="I50" s="6" t="str">
        <f aca="false">IF($B50&lt;&gt;"B","",IFERROR(IF($D50=0,0,FLOOR(MAX(0,INDEX('A Loose'!$K$5:$K$104,MATCH($C50,'A Loose'!$A$5:$A$104,0)))/$D50,1)),0))</f>
        <v/>
      </c>
      <c r="J50" s="6" t="str">
        <f aca="false">IF($B50&lt;&gt;"C","",IFERROR(IF($E50="B",IF($D50=0,0,FLOOR(MAX(0,INDEX('B Made'!$F$5:$F$104,MATCH($C50,'B Made'!$A$5:$A$104,0)))/$D50,1)),IF($O50=0,0,FLOOR(MAX(0,INDEX('A Loose'!$K$5:$K$104,MATCH($C50,'A Loose'!$A$5:$A$104,0)))/$O50,1))),0))</f>
        <v/>
      </c>
      <c r="K50" s="6" t="str">
        <f aca="false">IF($B50&lt;&gt;"C","",IFERROR(IF($E50="B",IF($D50=0,0,FLOOR(MAX(0,INDEX('B Made'!$I$5:$I$104,MATCH($C50,'B Made'!$A$5:$A$104,0)))/$D50,1)),IF($O50=0,0,FLOOR(MAX(0,INDEX('A Loose'!$K$5:$K$104,MATCH($C50,'A Loose'!$A$5:$A$104,0)))/$O50,1))),0))</f>
        <v/>
      </c>
      <c r="L50" s="6" t="str">
        <f aca="false">IF($B50&lt;&gt;"C","",$A50&amp;"|"&amp;$K50)</f>
        <v/>
      </c>
      <c r="M50" s="6" t="str">
        <f aca="false">IF($B50&lt;&gt;"B","",$A50&amp;"|"&amp;$I50)</f>
        <v/>
      </c>
      <c r="N50" s="6" t="str">
        <f aca="false">IF($C50="","",COUNTIFS(Recipes!$C$5:$C$104,$C50,Recipes!$B$5:$B$104,"C"))</f>
        <v/>
      </c>
      <c r="O50" s="6" t="str">
        <f aca="false">IF(OR($B50&lt;&gt;"C",$E50&lt;&gt;"A"),"",$D50+SUMPRODUCT((Recipes!$A$5:$A$104=$A50)*(Recipes!$B$5:$B$104="C")*(Recipes!$E$5:$E$104="B")*Recipes!$D$5:$D$104*SUMIFS(Recipes!$D$5:$D$104,Recipes!$A$5:$A$104,Recipes!$C$5:$C$104,Recipes!$B$5:$B$104,"B",Recipes!$C$5:$C$104,$C50)))</f>
        <v/>
      </c>
    </row>
    <row r="51" customFormat="false" ht="15" hidden="false" customHeight="false" outlineLevel="0" collapsed="false">
      <c r="A51" s="4"/>
      <c r="B51" s="4"/>
      <c r="C51" s="4"/>
      <c r="D51" s="4"/>
      <c r="E51" s="5" t="str">
        <f aca="false">IF($C51="","",IF(ISNUMBER(MATCH($C51,'A Loose'!$A$5:$A$104,0)),"A",IF(ISNUMBER(MATCH($C51,'B Made'!$A$5:$A$104,0)),"B","?? unknown code")))</f>
        <v/>
      </c>
      <c r="F51" s="5" t="str">
        <f aca="false">IF($C51="","",IFERROR(IF($E51="A",INDEX('A Loose'!$B$5:$B$104,MATCH($C51,'A Loose'!$A$5:$A$104,0)),IF($E51="B",INDEX('B Made'!$B$5:$B$104,MATCH($C51,'B Made'!$A$5:$A$104,0)),"")),""))</f>
        <v/>
      </c>
      <c r="G51" s="6" t="str">
        <f aca="false">IF($A51="","",IF($B51="B",IFERROR(INDEX('B Made'!$G$5:$G$104,MATCH($A51,'B Made'!$A$5:$A$104,0)),0),IF($B51="C",IFERROR(INDEX('C Kits'!$E$5:$E$104,MATCH($A51,'C Kits'!$A$5:$A$104,0)),0),0)))</f>
        <v/>
      </c>
      <c r="H51" s="5" t="str">
        <f aca="false">IF($A51="","",$D51*$G51)</f>
        <v/>
      </c>
      <c r="I51" s="6" t="str">
        <f aca="false">IF($B51&lt;&gt;"B","",IFERROR(IF($D51=0,0,FLOOR(MAX(0,INDEX('A Loose'!$K$5:$K$104,MATCH($C51,'A Loose'!$A$5:$A$104,0)))/$D51,1)),0))</f>
        <v/>
      </c>
      <c r="J51" s="6" t="str">
        <f aca="false">IF($B51&lt;&gt;"C","",IFERROR(IF($E51="B",IF($D51=0,0,FLOOR(MAX(0,INDEX('B Made'!$F$5:$F$104,MATCH($C51,'B Made'!$A$5:$A$104,0)))/$D51,1)),IF($O51=0,0,FLOOR(MAX(0,INDEX('A Loose'!$K$5:$K$104,MATCH($C51,'A Loose'!$A$5:$A$104,0)))/$O51,1))),0))</f>
        <v/>
      </c>
      <c r="K51" s="6" t="str">
        <f aca="false">IF($B51&lt;&gt;"C","",IFERROR(IF($E51="B",IF($D51=0,0,FLOOR(MAX(0,INDEX('B Made'!$I$5:$I$104,MATCH($C51,'B Made'!$A$5:$A$104,0)))/$D51,1)),IF($O51=0,0,FLOOR(MAX(0,INDEX('A Loose'!$K$5:$K$104,MATCH($C51,'A Loose'!$A$5:$A$104,0)))/$O51,1))),0))</f>
        <v/>
      </c>
      <c r="L51" s="6" t="str">
        <f aca="false">IF($B51&lt;&gt;"C","",$A51&amp;"|"&amp;$K51)</f>
        <v/>
      </c>
      <c r="M51" s="6" t="str">
        <f aca="false">IF($B51&lt;&gt;"B","",$A51&amp;"|"&amp;$I51)</f>
        <v/>
      </c>
      <c r="N51" s="6" t="str">
        <f aca="false">IF($C51="","",COUNTIFS(Recipes!$C$5:$C$104,$C51,Recipes!$B$5:$B$104,"C"))</f>
        <v/>
      </c>
      <c r="O51" s="6" t="str">
        <f aca="false">IF(OR($B51&lt;&gt;"C",$E51&lt;&gt;"A"),"",$D51+SUMPRODUCT((Recipes!$A$5:$A$104=$A51)*(Recipes!$B$5:$B$104="C")*(Recipes!$E$5:$E$104="B")*Recipes!$D$5:$D$104*SUMIFS(Recipes!$D$5:$D$104,Recipes!$A$5:$A$104,Recipes!$C$5:$C$104,Recipes!$B$5:$B$104,"B",Recipes!$C$5:$C$104,$C51)))</f>
        <v/>
      </c>
    </row>
    <row r="52" customFormat="false" ht="15" hidden="false" customHeight="false" outlineLevel="0" collapsed="false">
      <c r="A52" s="4"/>
      <c r="B52" s="4"/>
      <c r="C52" s="4"/>
      <c r="D52" s="4"/>
      <c r="E52" s="5" t="str">
        <f aca="false">IF($C52="","",IF(ISNUMBER(MATCH($C52,'A Loose'!$A$5:$A$104,0)),"A",IF(ISNUMBER(MATCH($C52,'B Made'!$A$5:$A$104,0)),"B","?? unknown code")))</f>
        <v/>
      </c>
      <c r="F52" s="5" t="str">
        <f aca="false">IF($C52="","",IFERROR(IF($E52="A",INDEX('A Loose'!$B$5:$B$104,MATCH($C52,'A Loose'!$A$5:$A$104,0)),IF($E52="B",INDEX('B Made'!$B$5:$B$104,MATCH($C52,'B Made'!$A$5:$A$104,0)),"")),""))</f>
        <v/>
      </c>
      <c r="G52" s="6" t="str">
        <f aca="false">IF($A52="","",IF($B52="B",IFERROR(INDEX('B Made'!$G$5:$G$104,MATCH($A52,'B Made'!$A$5:$A$104,0)),0),IF($B52="C",IFERROR(INDEX('C Kits'!$E$5:$E$104,MATCH($A52,'C Kits'!$A$5:$A$104,0)),0),0)))</f>
        <v/>
      </c>
      <c r="H52" s="5" t="str">
        <f aca="false">IF($A52="","",$D52*$G52)</f>
        <v/>
      </c>
      <c r="I52" s="6" t="str">
        <f aca="false">IF($B52&lt;&gt;"B","",IFERROR(IF($D52=0,0,FLOOR(MAX(0,INDEX('A Loose'!$K$5:$K$104,MATCH($C52,'A Loose'!$A$5:$A$104,0)))/$D52,1)),0))</f>
        <v/>
      </c>
      <c r="J52" s="6" t="str">
        <f aca="false">IF($B52&lt;&gt;"C","",IFERROR(IF($E52="B",IF($D52=0,0,FLOOR(MAX(0,INDEX('B Made'!$F$5:$F$104,MATCH($C52,'B Made'!$A$5:$A$104,0)))/$D52,1)),IF($O52=0,0,FLOOR(MAX(0,INDEX('A Loose'!$K$5:$K$104,MATCH($C52,'A Loose'!$A$5:$A$104,0)))/$O52,1))),0))</f>
        <v/>
      </c>
      <c r="K52" s="6" t="str">
        <f aca="false">IF($B52&lt;&gt;"C","",IFERROR(IF($E52="B",IF($D52=0,0,FLOOR(MAX(0,INDEX('B Made'!$I$5:$I$104,MATCH($C52,'B Made'!$A$5:$A$104,0)))/$D52,1)),IF($O52=0,0,FLOOR(MAX(0,INDEX('A Loose'!$K$5:$K$104,MATCH($C52,'A Loose'!$A$5:$A$104,0)))/$O52,1))),0))</f>
        <v/>
      </c>
      <c r="L52" s="6" t="str">
        <f aca="false">IF($B52&lt;&gt;"C","",$A52&amp;"|"&amp;$K52)</f>
        <v/>
      </c>
      <c r="M52" s="6" t="str">
        <f aca="false">IF($B52&lt;&gt;"B","",$A52&amp;"|"&amp;$I52)</f>
        <v/>
      </c>
      <c r="N52" s="6" t="str">
        <f aca="false">IF($C52="","",COUNTIFS(Recipes!$C$5:$C$104,$C52,Recipes!$B$5:$B$104,"C"))</f>
        <v/>
      </c>
      <c r="O52" s="6" t="str">
        <f aca="false">IF(OR($B52&lt;&gt;"C",$E52&lt;&gt;"A"),"",$D52+SUMPRODUCT((Recipes!$A$5:$A$104=$A52)*(Recipes!$B$5:$B$104="C")*(Recipes!$E$5:$E$104="B")*Recipes!$D$5:$D$104*SUMIFS(Recipes!$D$5:$D$104,Recipes!$A$5:$A$104,Recipes!$C$5:$C$104,Recipes!$B$5:$B$104,"B",Recipes!$C$5:$C$104,$C52)))</f>
        <v/>
      </c>
    </row>
    <row r="53" customFormat="false" ht="15" hidden="false" customHeight="false" outlineLevel="0" collapsed="false">
      <c r="A53" s="4"/>
      <c r="B53" s="4"/>
      <c r="C53" s="4"/>
      <c r="D53" s="4"/>
      <c r="E53" s="5" t="str">
        <f aca="false">IF($C53="","",IF(ISNUMBER(MATCH($C53,'A Loose'!$A$5:$A$104,0)),"A",IF(ISNUMBER(MATCH($C53,'B Made'!$A$5:$A$104,0)),"B","?? unknown code")))</f>
        <v/>
      </c>
      <c r="F53" s="5" t="str">
        <f aca="false">IF($C53="","",IFERROR(IF($E53="A",INDEX('A Loose'!$B$5:$B$104,MATCH($C53,'A Loose'!$A$5:$A$104,0)),IF($E53="B",INDEX('B Made'!$B$5:$B$104,MATCH($C53,'B Made'!$A$5:$A$104,0)),"")),""))</f>
        <v/>
      </c>
      <c r="G53" s="6" t="str">
        <f aca="false">IF($A53="","",IF($B53="B",IFERROR(INDEX('B Made'!$G$5:$G$104,MATCH($A53,'B Made'!$A$5:$A$104,0)),0),IF($B53="C",IFERROR(INDEX('C Kits'!$E$5:$E$104,MATCH($A53,'C Kits'!$A$5:$A$104,0)),0),0)))</f>
        <v/>
      </c>
      <c r="H53" s="5" t="str">
        <f aca="false">IF($A53="","",$D53*$G53)</f>
        <v/>
      </c>
      <c r="I53" s="6" t="str">
        <f aca="false">IF($B53&lt;&gt;"B","",IFERROR(IF($D53=0,0,FLOOR(MAX(0,INDEX('A Loose'!$K$5:$K$104,MATCH($C53,'A Loose'!$A$5:$A$104,0)))/$D53,1)),0))</f>
        <v/>
      </c>
      <c r="J53" s="6" t="str">
        <f aca="false">IF($B53&lt;&gt;"C","",IFERROR(IF($E53="B",IF($D53=0,0,FLOOR(MAX(0,INDEX('B Made'!$F$5:$F$104,MATCH($C53,'B Made'!$A$5:$A$104,0)))/$D53,1)),IF($O53=0,0,FLOOR(MAX(0,INDEX('A Loose'!$K$5:$K$104,MATCH($C53,'A Loose'!$A$5:$A$104,0)))/$O53,1))),0))</f>
        <v/>
      </c>
      <c r="K53" s="6" t="str">
        <f aca="false">IF($B53&lt;&gt;"C","",IFERROR(IF($E53="B",IF($D53=0,0,FLOOR(MAX(0,INDEX('B Made'!$I$5:$I$104,MATCH($C53,'B Made'!$A$5:$A$104,0)))/$D53,1)),IF($O53=0,0,FLOOR(MAX(0,INDEX('A Loose'!$K$5:$K$104,MATCH($C53,'A Loose'!$A$5:$A$104,0)))/$O53,1))),0))</f>
        <v/>
      </c>
      <c r="L53" s="6" t="str">
        <f aca="false">IF($B53&lt;&gt;"C","",$A53&amp;"|"&amp;$K53)</f>
        <v/>
      </c>
      <c r="M53" s="6" t="str">
        <f aca="false">IF($B53&lt;&gt;"B","",$A53&amp;"|"&amp;$I53)</f>
        <v/>
      </c>
      <c r="N53" s="6" t="str">
        <f aca="false">IF($C53="","",COUNTIFS(Recipes!$C$5:$C$104,$C53,Recipes!$B$5:$B$104,"C"))</f>
        <v/>
      </c>
      <c r="O53" s="6" t="str">
        <f aca="false">IF(OR($B53&lt;&gt;"C",$E53&lt;&gt;"A"),"",$D53+SUMPRODUCT((Recipes!$A$5:$A$104=$A53)*(Recipes!$B$5:$B$104="C")*(Recipes!$E$5:$E$104="B")*Recipes!$D$5:$D$104*SUMIFS(Recipes!$D$5:$D$104,Recipes!$A$5:$A$104,Recipes!$C$5:$C$104,Recipes!$B$5:$B$104,"B",Recipes!$C$5:$C$104,$C53)))</f>
        <v/>
      </c>
    </row>
    <row r="54" customFormat="false" ht="15" hidden="false" customHeight="false" outlineLevel="0" collapsed="false">
      <c r="A54" s="4"/>
      <c r="B54" s="4"/>
      <c r="C54" s="4"/>
      <c r="D54" s="4"/>
      <c r="E54" s="5" t="str">
        <f aca="false">IF($C54="","",IF(ISNUMBER(MATCH($C54,'A Loose'!$A$5:$A$104,0)),"A",IF(ISNUMBER(MATCH($C54,'B Made'!$A$5:$A$104,0)),"B","?? unknown code")))</f>
        <v/>
      </c>
      <c r="F54" s="5" t="str">
        <f aca="false">IF($C54="","",IFERROR(IF($E54="A",INDEX('A Loose'!$B$5:$B$104,MATCH($C54,'A Loose'!$A$5:$A$104,0)),IF($E54="B",INDEX('B Made'!$B$5:$B$104,MATCH($C54,'B Made'!$A$5:$A$104,0)),"")),""))</f>
        <v/>
      </c>
      <c r="G54" s="6" t="str">
        <f aca="false">IF($A54="","",IF($B54="B",IFERROR(INDEX('B Made'!$G$5:$G$104,MATCH($A54,'B Made'!$A$5:$A$104,0)),0),IF($B54="C",IFERROR(INDEX('C Kits'!$E$5:$E$104,MATCH($A54,'C Kits'!$A$5:$A$104,0)),0),0)))</f>
        <v/>
      </c>
      <c r="H54" s="5" t="str">
        <f aca="false">IF($A54="","",$D54*$G54)</f>
        <v/>
      </c>
      <c r="I54" s="6" t="str">
        <f aca="false">IF($B54&lt;&gt;"B","",IFERROR(IF($D54=0,0,FLOOR(MAX(0,INDEX('A Loose'!$K$5:$K$104,MATCH($C54,'A Loose'!$A$5:$A$104,0)))/$D54,1)),0))</f>
        <v/>
      </c>
      <c r="J54" s="6" t="str">
        <f aca="false">IF($B54&lt;&gt;"C","",IFERROR(IF($E54="B",IF($D54=0,0,FLOOR(MAX(0,INDEX('B Made'!$F$5:$F$104,MATCH($C54,'B Made'!$A$5:$A$104,0)))/$D54,1)),IF($O54=0,0,FLOOR(MAX(0,INDEX('A Loose'!$K$5:$K$104,MATCH($C54,'A Loose'!$A$5:$A$104,0)))/$O54,1))),0))</f>
        <v/>
      </c>
      <c r="K54" s="6" t="str">
        <f aca="false">IF($B54&lt;&gt;"C","",IFERROR(IF($E54="B",IF($D54=0,0,FLOOR(MAX(0,INDEX('B Made'!$I$5:$I$104,MATCH($C54,'B Made'!$A$5:$A$104,0)))/$D54,1)),IF($O54=0,0,FLOOR(MAX(0,INDEX('A Loose'!$K$5:$K$104,MATCH($C54,'A Loose'!$A$5:$A$104,0)))/$O54,1))),0))</f>
        <v/>
      </c>
      <c r="L54" s="6" t="str">
        <f aca="false">IF($B54&lt;&gt;"C","",$A54&amp;"|"&amp;$K54)</f>
        <v/>
      </c>
      <c r="M54" s="6" t="str">
        <f aca="false">IF($B54&lt;&gt;"B","",$A54&amp;"|"&amp;$I54)</f>
        <v/>
      </c>
      <c r="N54" s="6" t="str">
        <f aca="false">IF($C54="","",COUNTIFS(Recipes!$C$5:$C$104,$C54,Recipes!$B$5:$B$104,"C"))</f>
        <v/>
      </c>
      <c r="O54" s="6" t="str">
        <f aca="false">IF(OR($B54&lt;&gt;"C",$E54&lt;&gt;"A"),"",$D54+SUMPRODUCT((Recipes!$A$5:$A$104=$A54)*(Recipes!$B$5:$B$104="C")*(Recipes!$E$5:$E$104="B")*Recipes!$D$5:$D$104*SUMIFS(Recipes!$D$5:$D$104,Recipes!$A$5:$A$104,Recipes!$C$5:$C$104,Recipes!$B$5:$B$104,"B",Recipes!$C$5:$C$104,$C54)))</f>
        <v/>
      </c>
    </row>
    <row r="55" customFormat="false" ht="15" hidden="false" customHeight="false" outlineLevel="0" collapsed="false">
      <c r="A55" s="4"/>
      <c r="B55" s="4"/>
      <c r="C55" s="4"/>
      <c r="D55" s="4"/>
      <c r="E55" s="5" t="str">
        <f aca="false">IF($C55="","",IF(ISNUMBER(MATCH($C55,'A Loose'!$A$5:$A$104,0)),"A",IF(ISNUMBER(MATCH($C55,'B Made'!$A$5:$A$104,0)),"B","?? unknown code")))</f>
        <v/>
      </c>
      <c r="F55" s="5" t="str">
        <f aca="false">IF($C55="","",IFERROR(IF($E55="A",INDEX('A Loose'!$B$5:$B$104,MATCH($C55,'A Loose'!$A$5:$A$104,0)),IF($E55="B",INDEX('B Made'!$B$5:$B$104,MATCH($C55,'B Made'!$A$5:$A$104,0)),"")),""))</f>
        <v/>
      </c>
      <c r="G55" s="6" t="str">
        <f aca="false">IF($A55="","",IF($B55="B",IFERROR(INDEX('B Made'!$G$5:$G$104,MATCH($A55,'B Made'!$A$5:$A$104,0)),0),IF($B55="C",IFERROR(INDEX('C Kits'!$E$5:$E$104,MATCH($A55,'C Kits'!$A$5:$A$104,0)),0),0)))</f>
        <v/>
      </c>
      <c r="H55" s="5" t="str">
        <f aca="false">IF($A55="","",$D55*$G55)</f>
        <v/>
      </c>
      <c r="I55" s="6" t="str">
        <f aca="false">IF($B55&lt;&gt;"B","",IFERROR(IF($D55=0,0,FLOOR(MAX(0,INDEX('A Loose'!$K$5:$K$104,MATCH($C55,'A Loose'!$A$5:$A$104,0)))/$D55,1)),0))</f>
        <v/>
      </c>
      <c r="J55" s="6" t="str">
        <f aca="false">IF($B55&lt;&gt;"C","",IFERROR(IF($E55="B",IF($D55=0,0,FLOOR(MAX(0,INDEX('B Made'!$F$5:$F$104,MATCH($C55,'B Made'!$A$5:$A$104,0)))/$D55,1)),IF($O55=0,0,FLOOR(MAX(0,INDEX('A Loose'!$K$5:$K$104,MATCH($C55,'A Loose'!$A$5:$A$104,0)))/$O55,1))),0))</f>
        <v/>
      </c>
      <c r="K55" s="6" t="str">
        <f aca="false">IF($B55&lt;&gt;"C","",IFERROR(IF($E55="B",IF($D55=0,0,FLOOR(MAX(0,INDEX('B Made'!$I$5:$I$104,MATCH($C55,'B Made'!$A$5:$A$104,0)))/$D55,1)),IF($O55=0,0,FLOOR(MAX(0,INDEX('A Loose'!$K$5:$K$104,MATCH($C55,'A Loose'!$A$5:$A$104,0)))/$O55,1))),0))</f>
        <v/>
      </c>
      <c r="L55" s="6" t="str">
        <f aca="false">IF($B55&lt;&gt;"C","",$A55&amp;"|"&amp;$K55)</f>
        <v/>
      </c>
      <c r="M55" s="6" t="str">
        <f aca="false">IF($B55&lt;&gt;"B","",$A55&amp;"|"&amp;$I55)</f>
        <v/>
      </c>
      <c r="N55" s="6" t="str">
        <f aca="false">IF($C55="","",COUNTIFS(Recipes!$C$5:$C$104,$C55,Recipes!$B$5:$B$104,"C"))</f>
        <v/>
      </c>
      <c r="O55" s="6" t="str">
        <f aca="false">IF(OR($B55&lt;&gt;"C",$E55&lt;&gt;"A"),"",$D55+SUMPRODUCT((Recipes!$A$5:$A$104=$A55)*(Recipes!$B$5:$B$104="C")*(Recipes!$E$5:$E$104="B")*Recipes!$D$5:$D$104*SUMIFS(Recipes!$D$5:$D$104,Recipes!$A$5:$A$104,Recipes!$C$5:$C$104,Recipes!$B$5:$B$104,"B",Recipes!$C$5:$C$104,$C55)))</f>
        <v/>
      </c>
    </row>
    <row r="56" customFormat="false" ht="15" hidden="false" customHeight="false" outlineLevel="0" collapsed="false">
      <c r="A56" s="4"/>
      <c r="B56" s="4"/>
      <c r="C56" s="4"/>
      <c r="D56" s="4"/>
      <c r="E56" s="5" t="str">
        <f aca="false">IF($C56="","",IF(ISNUMBER(MATCH($C56,'A Loose'!$A$5:$A$104,0)),"A",IF(ISNUMBER(MATCH($C56,'B Made'!$A$5:$A$104,0)),"B","?? unknown code")))</f>
        <v/>
      </c>
      <c r="F56" s="5" t="str">
        <f aca="false">IF($C56="","",IFERROR(IF($E56="A",INDEX('A Loose'!$B$5:$B$104,MATCH($C56,'A Loose'!$A$5:$A$104,0)),IF($E56="B",INDEX('B Made'!$B$5:$B$104,MATCH($C56,'B Made'!$A$5:$A$104,0)),"")),""))</f>
        <v/>
      </c>
      <c r="G56" s="6" t="str">
        <f aca="false">IF($A56="","",IF($B56="B",IFERROR(INDEX('B Made'!$G$5:$G$104,MATCH($A56,'B Made'!$A$5:$A$104,0)),0),IF($B56="C",IFERROR(INDEX('C Kits'!$E$5:$E$104,MATCH($A56,'C Kits'!$A$5:$A$104,0)),0),0)))</f>
        <v/>
      </c>
      <c r="H56" s="5" t="str">
        <f aca="false">IF($A56="","",$D56*$G56)</f>
        <v/>
      </c>
      <c r="I56" s="6" t="str">
        <f aca="false">IF($B56&lt;&gt;"B","",IFERROR(IF($D56=0,0,FLOOR(MAX(0,INDEX('A Loose'!$K$5:$K$104,MATCH($C56,'A Loose'!$A$5:$A$104,0)))/$D56,1)),0))</f>
        <v/>
      </c>
      <c r="J56" s="6" t="str">
        <f aca="false">IF($B56&lt;&gt;"C","",IFERROR(IF($E56="B",IF($D56=0,0,FLOOR(MAX(0,INDEX('B Made'!$F$5:$F$104,MATCH($C56,'B Made'!$A$5:$A$104,0)))/$D56,1)),IF($O56=0,0,FLOOR(MAX(0,INDEX('A Loose'!$K$5:$K$104,MATCH($C56,'A Loose'!$A$5:$A$104,0)))/$O56,1))),0))</f>
        <v/>
      </c>
      <c r="K56" s="6" t="str">
        <f aca="false">IF($B56&lt;&gt;"C","",IFERROR(IF($E56="B",IF($D56=0,0,FLOOR(MAX(0,INDEX('B Made'!$I$5:$I$104,MATCH($C56,'B Made'!$A$5:$A$104,0)))/$D56,1)),IF($O56=0,0,FLOOR(MAX(0,INDEX('A Loose'!$K$5:$K$104,MATCH($C56,'A Loose'!$A$5:$A$104,0)))/$O56,1))),0))</f>
        <v/>
      </c>
      <c r="L56" s="6" t="str">
        <f aca="false">IF($B56&lt;&gt;"C","",$A56&amp;"|"&amp;$K56)</f>
        <v/>
      </c>
      <c r="M56" s="6" t="str">
        <f aca="false">IF($B56&lt;&gt;"B","",$A56&amp;"|"&amp;$I56)</f>
        <v/>
      </c>
      <c r="N56" s="6" t="str">
        <f aca="false">IF($C56="","",COUNTIFS(Recipes!$C$5:$C$104,$C56,Recipes!$B$5:$B$104,"C"))</f>
        <v/>
      </c>
      <c r="O56" s="6" t="str">
        <f aca="false">IF(OR($B56&lt;&gt;"C",$E56&lt;&gt;"A"),"",$D56+SUMPRODUCT((Recipes!$A$5:$A$104=$A56)*(Recipes!$B$5:$B$104="C")*(Recipes!$E$5:$E$104="B")*Recipes!$D$5:$D$104*SUMIFS(Recipes!$D$5:$D$104,Recipes!$A$5:$A$104,Recipes!$C$5:$C$104,Recipes!$B$5:$B$104,"B",Recipes!$C$5:$C$104,$C56)))</f>
        <v/>
      </c>
    </row>
    <row r="57" customFormat="false" ht="15" hidden="false" customHeight="false" outlineLevel="0" collapsed="false">
      <c r="A57" s="4"/>
      <c r="B57" s="4"/>
      <c r="C57" s="4"/>
      <c r="D57" s="4"/>
      <c r="E57" s="5" t="str">
        <f aca="false">IF($C57="","",IF(ISNUMBER(MATCH($C57,'A Loose'!$A$5:$A$104,0)),"A",IF(ISNUMBER(MATCH($C57,'B Made'!$A$5:$A$104,0)),"B","?? unknown code")))</f>
        <v/>
      </c>
      <c r="F57" s="5" t="str">
        <f aca="false">IF($C57="","",IFERROR(IF($E57="A",INDEX('A Loose'!$B$5:$B$104,MATCH($C57,'A Loose'!$A$5:$A$104,0)),IF($E57="B",INDEX('B Made'!$B$5:$B$104,MATCH($C57,'B Made'!$A$5:$A$104,0)),"")),""))</f>
        <v/>
      </c>
      <c r="G57" s="6" t="str">
        <f aca="false">IF($A57="","",IF($B57="B",IFERROR(INDEX('B Made'!$G$5:$G$104,MATCH($A57,'B Made'!$A$5:$A$104,0)),0),IF($B57="C",IFERROR(INDEX('C Kits'!$E$5:$E$104,MATCH($A57,'C Kits'!$A$5:$A$104,0)),0),0)))</f>
        <v/>
      </c>
      <c r="H57" s="5" t="str">
        <f aca="false">IF($A57="","",$D57*$G57)</f>
        <v/>
      </c>
      <c r="I57" s="6" t="str">
        <f aca="false">IF($B57&lt;&gt;"B","",IFERROR(IF($D57=0,0,FLOOR(MAX(0,INDEX('A Loose'!$K$5:$K$104,MATCH($C57,'A Loose'!$A$5:$A$104,0)))/$D57,1)),0))</f>
        <v/>
      </c>
      <c r="J57" s="6" t="str">
        <f aca="false">IF($B57&lt;&gt;"C","",IFERROR(IF($E57="B",IF($D57=0,0,FLOOR(MAX(0,INDEX('B Made'!$F$5:$F$104,MATCH($C57,'B Made'!$A$5:$A$104,0)))/$D57,1)),IF($O57=0,0,FLOOR(MAX(0,INDEX('A Loose'!$K$5:$K$104,MATCH($C57,'A Loose'!$A$5:$A$104,0)))/$O57,1))),0))</f>
        <v/>
      </c>
      <c r="K57" s="6" t="str">
        <f aca="false">IF($B57&lt;&gt;"C","",IFERROR(IF($E57="B",IF($D57=0,0,FLOOR(MAX(0,INDEX('B Made'!$I$5:$I$104,MATCH($C57,'B Made'!$A$5:$A$104,0)))/$D57,1)),IF($O57=0,0,FLOOR(MAX(0,INDEX('A Loose'!$K$5:$K$104,MATCH($C57,'A Loose'!$A$5:$A$104,0)))/$O57,1))),0))</f>
        <v/>
      </c>
      <c r="L57" s="6" t="str">
        <f aca="false">IF($B57&lt;&gt;"C","",$A57&amp;"|"&amp;$K57)</f>
        <v/>
      </c>
      <c r="M57" s="6" t="str">
        <f aca="false">IF($B57&lt;&gt;"B","",$A57&amp;"|"&amp;$I57)</f>
        <v/>
      </c>
      <c r="N57" s="6" t="str">
        <f aca="false">IF($C57="","",COUNTIFS(Recipes!$C$5:$C$104,$C57,Recipes!$B$5:$B$104,"C"))</f>
        <v/>
      </c>
      <c r="O57" s="6" t="str">
        <f aca="false">IF(OR($B57&lt;&gt;"C",$E57&lt;&gt;"A"),"",$D57+SUMPRODUCT((Recipes!$A$5:$A$104=$A57)*(Recipes!$B$5:$B$104="C")*(Recipes!$E$5:$E$104="B")*Recipes!$D$5:$D$104*SUMIFS(Recipes!$D$5:$D$104,Recipes!$A$5:$A$104,Recipes!$C$5:$C$104,Recipes!$B$5:$B$104,"B",Recipes!$C$5:$C$104,$C57)))</f>
        <v/>
      </c>
    </row>
    <row r="58" customFormat="false" ht="15" hidden="false" customHeight="false" outlineLevel="0" collapsed="false">
      <c r="A58" s="4"/>
      <c r="B58" s="4"/>
      <c r="C58" s="4"/>
      <c r="D58" s="4"/>
      <c r="E58" s="5" t="str">
        <f aca="false">IF($C58="","",IF(ISNUMBER(MATCH($C58,'A Loose'!$A$5:$A$104,0)),"A",IF(ISNUMBER(MATCH($C58,'B Made'!$A$5:$A$104,0)),"B","?? unknown code")))</f>
        <v/>
      </c>
      <c r="F58" s="5" t="str">
        <f aca="false">IF($C58="","",IFERROR(IF($E58="A",INDEX('A Loose'!$B$5:$B$104,MATCH($C58,'A Loose'!$A$5:$A$104,0)),IF($E58="B",INDEX('B Made'!$B$5:$B$104,MATCH($C58,'B Made'!$A$5:$A$104,0)),"")),""))</f>
        <v/>
      </c>
      <c r="G58" s="6" t="str">
        <f aca="false">IF($A58="","",IF($B58="B",IFERROR(INDEX('B Made'!$G$5:$G$104,MATCH($A58,'B Made'!$A$5:$A$104,0)),0),IF($B58="C",IFERROR(INDEX('C Kits'!$E$5:$E$104,MATCH($A58,'C Kits'!$A$5:$A$104,0)),0),0)))</f>
        <v/>
      </c>
      <c r="H58" s="5" t="str">
        <f aca="false">IF($A58="","",$D58*$G58)</f>
        <v/>
      </c>
      <c r="I58" s="6" t="str">
        <f aca="false">IF($B58&lt;&gt;"B","",IFERROR(IF($D58=0,0,FLOOR(MAX(0,INDEX('A Loose'!$K$5:$K$104,MATCH($C58,'A Loose'!$A$5:$A$104,0)))/$D58,1)),0))</f>
        <v/>
      </c>
      <c r="J58" s="6" t="str">
        <f aca="false">IF($B58&lt;&gt;"C","",IFERROR(IF($E58="B",IF($D58=0,0,FLOOR(MAX(0,INDEX('B Made'!$F$5:$F$104,MATCH($C58,'B Made'!$A$5:$A$104,0)))/$D58,1)),IF($O58=0,0,FLOOR(MAX(0,INDEX('A Loose'!$K$5:$K$104,MATCH($C58,'A Loose'!$A$5:$A$104,0)))/$O58,1))),0))</f>
        <v/>
      </c>
      <c r="K58" s="6" t="str">
        <f aca="false">IF($B58&lt;&gt;"C","",IFERROR(IF($E58="B",IF($D58=0,0,FLOOR(MAX(0,INDEX('B Made'!$I$5:$I$104,MATCH($C58,'B Made'!$A$5:$A$104,0)))/$D58,1)),IF($O58=0,0,FLOOR(MAX(0,INDEX('A Loose'!$K$5:$K$104,MATCH($C58,'A Loose'!$A$5:$A$104,0)))/$O58,1))),0))</f>
        <v/>
      </c>
      <c r="L58" s="6" t="str">
        <f aca="false">IF($B58&lt;&gt;"C","",$A58&amp;"|"&amp;$K58)</f>
        <v/>
      </c>
      <c r="M58" s="6" t="str">
        <f aca="false">IF($B58&lt;&gt;"B","",$A58&amp;"|"&amp;$I58)</f>
        <v/>
      </c>
      <c r="N58" s="6" t="str">
        <f aca="false">IF($C58="","",COUNTIFS(Recipes!$C$5:$C$104,$C58,Recipes!$B$5:$B$104,"C"))</f>
        <v/>
      </c>
      <c r="O58" s="6" t="str">
        <f aca="false">IF(OR($B58&lt;&gt;"C",$E58&lt;&gt;"A"),"",$D58+SUMPRODUCT((Recipes!$A$5:$A$104=$A58)*(Recipes!$B$5:$B$104="C")*(Recipes!$E$5:$E$104="B")*Recipes!$D$5:$D$104*SUMIFS(Recipes!$D$5:$D$104,Recipes!$A$5:$A$104,Recipes!$C$5:$C$104,Recipes!$B$5:$B$104,"B",Recipes!$C$5:$C$104,$C58)))</f>
        <v/>
      </c>
    </row>
    <row r="59" customFormat="false" ht="15" hidden="false" customHeight="false" outlineLevel="0" collapsed="false">
      <c r="A59" s="4"/>
      <c r="B59" s="4"/>
      <c r="C59" s="4"/>
      <c r="D59" s="4"/>
      <c r="E59" s="5" t="str">
        <f aca="false">IF($C59="","",IF(ISNUMBER(MATCH($C59,'A Loose'!$A$5:$A$104,0)),"A",IF(ISNUMBER(MATCH($C59,'B Made'!$A$5:$A$104,0)),"B","?? unknown code")))</f>
        <v/>
      </c>
      <c r="F59" s="5" t="str">
        <f aca="false">IF($C59="","",IFERROR(IF($E59="A",INDEX('A Loose'!$B$5:$B$104,MATCH($C59,'A Loose'!$A$5:$A$104,0)),IF($E59="B",INDEX('B Made'!$B$5:$B$104,MATCH($C59,'B Made'!$A$5:$A$104,0)),"")),""))</f>
        <v/>
      </c>
      <c r="G59" s="6" t="str">
        <f aca="false">IF($A59="","",IF($B59="B",IFERROR(INDEX('B Made'!$G$5:$G$104,MATCH($A59,'B Made'!$A$5:$A$104,0)),0),IF($B59="C",IFERROR(INDEX('C Kits'!$E$5:$E$104,MATCH($A59,'C Kits'!$A$5:$A$104,0)),0),0)))</f>
        <v/>
      </c>
      <c r="H59" s="5" t="str">
        <f aca="false">IF($A59="","",$D59*$G59)</f>
        <v/>
      </c>
      <c r="I59" s="6" t="str">
        <f aca="false">IF($B59&lt;&gt;"B","",IFERROR(IF($D59=0,0,FLOOR(MAX(0,INDEX('A Loose'!$K$5:$K$104,MATCH($C59,'A Loose'!$A$5:$A$104,0)))/$D59,1)),0))</f>
        <v/>
      </c>
      <c r="J59" s="6" t="str">
        <f aca="false">IF($B59&lt;&gt;"C","",IFERROR(IF($E59="B",IF($D59=0,0,FLOOR(MAX(0,INDEX('B Made'!$F$5:$F$104,MATCH($C59,'B Made'!$A$5:$A$104,0)))/$D59,1)),IF($O59=0,0,FLOOR(MAX(0,INDEX('A Loose'!$K$5:$K$104,MATCH($C59,'A Loose'!$A$5:$A$104,0)))/$O59,1))),0))</f>
        <v/>
      </c>
      <c r="K59" s="6" t="str">
        <f aca="false">IF($B59&lt;&gt;"C","",IFERROR(IF($E59="B",IF($D59=0,0,FLOOR(MAX(0,INDEX('B Made'!$I$5:$I$104,MATCH($C59,'B Made'!$A$5:$A$104,0)))/$D59,1)),IF($O59=0,0,FLOOR(MAX(0,INDEX('A Loose'!$K$5:$K$104,MATCH($C59,'A Loose'!$A$5:$A$104,0)))/$O59,1))),0))</f>
        <v/>
      </c>
      <c r="L59" s="6" t="str">
        <f aca="false">IF($B59&lt;&gt;"C","",$A59&amp;"|"&amp;$K59)</f>
        <v/>
      </c>
      <c r="M59" s="6" t="str">
        <f aca="false">IF($B59&lt;&gt;"B","",$A59&amp;"|"&amp;$I59)</f>
        <v/>
      </c>
      <c r="N59" s="6" t="str">
        <f aca="false">IF($C59="","",COUNTIFS(Recipes!$C$5:$C$104,$C59,Recipes!$B$5:$B$104,"C"))</f>
        <v/>
      </c>
      <c r="O59" s="6" t="str">
        <f aca="false">IF(OR($B59&lt;&gt;"C",$E59&lt;&gt;"A"),"",$D59+SUMPRODUCT((Recipes!$A$5:$A$104=$A59)*(Recipes!$B$5:$B$104="C")*(Recipes!$E$5:$E$104="B")*Recipes!$D$5:$D$104*SUMIFS(Recipes!$D$5:$D$104,Recipes!$A$5:$A$104,Recipes!$C$5:$C$104,Recipes!$B$5:$B$104,"B",Recipes!$C$5:$C$104,$C59)))</f>
        <v/>
      </c>
    </row>
    <row r="60" customFormat="false" ht="15" hidden="false" customHeight="false" outlineLevel="0" collapsed="false">
      <c r="A60" s="4"/>
      <c r="B60" s="4"/>
      <c r="C60" s="4"/>
      <c r="D60" s="4"/>
      <c r="E60" s="5" t="str">
        <f aca="false">IF($C60="","",IF(ISNUMBER(MATCH($C60,'A Loose'!$A$5:$A$104,0)),"A",IF(ISNUMBER(MATCH($C60,'B Made'!$A$5:$A$104,0)),"B","?? unknown code")))</f>
        <v/>
      </c>
      <c r="F60" s="5" t="str">
        <f aca="false">IF($C60="","",IFERROR(IF($E60="A",INDEX('A Loose'!$B$5:$B$104,MATCH($C60,'A Loose'!$A$5:$A$104,0)),IF($E60="B",INDEX('B Made'!$B$5:$B$104,MATCH($C60,'B Made'!$A$5:$A$104,0)),"")),""))</f>
        <v/>
      </c>
      <c r="G60" s="6" t="str">
        <f aca="false">IF($A60="","",IF($B60="B",IFERROR(INDEX('B Made'!$G$5:$G$104,MATCH($A60,'B Made'!$A$5:$A$104,0)),0),IF($B60="C",IFERROR(INDEX('C Kits'!$E$5:$E$104,MATCH($A60,'C Kits'!$A$5:$A$104,0)),0),0)))</f>
        <v/>
      </c>
      <c r="H60" s="5" t="str">
        <f aca="false">IF($A60="","",$D60*$G60)</f>
        <v/>
      </c>
      <c r="I60" s="6" t="str">
        <f aca="false">IF($B60&lt;&gt;"B","",IFERROR(IF($D60=0,0,FLOOR(MAX(0,INDEX('A Loose'!$K$5:$K$104,MATCH($C60,'A Loose'!$A$5:$A$104,0)))/$D60,1)),0))</f>
        <v/>
      </c>
      <c r="J60" s="6" t="str">
        <f aca="false">IF($B60&lt;&gt;"C","",IFERROR(IF($E60="B",IF($D60=0,0,FLOOR(MAX(0,INDEX('B Made'!$F$5:$F$104,MATCH($C60,'B Made'!$A$5:$A$104,0)))/$D60,1)),IF($O60=0,0,FLOOR(MAX(0,INDEX('A Loose'!$K$5:$K$104,MATCH($C60,'A Loose'!$A$5:$A$104,0)))/$O60,1))),0))</f>
        <v/>
      </c>
      <c r="K60" s="6" t="str">
        <f aca="false">IF($B60&lt;&gt;"C","",IFERROR(IF($E60="B",IF($D60=0,0,FLOOR(MAX(0,INDEX('B Made'!$I$5:$I$104,MATCH($C60,'B Made'!$A$5:$A$104,0)))/$D60,1)),IF($O60=0,0,FLOOR(MAX(0,INDEX('A Loose'!$K$5:$K$104,MATCH($C60,'A Loose'!$A$5:$A$104,0)))/$O60,1))),0))</f>
        <v/>
      </c>
      <c r="L60" s="6" t="str">
        <f aca="false">IF($B60&lt;&gt;"C","",$A60&amp;"|"&amp;$K60)</f>
        <v/>
      </c>
      <c r="M60" s="6" t="str">
        <f aca="false">IF($B60&lt;&gt;"B","",$A60&amp;"|"&amp;$I60)</f>
        <v/>
      </c>
      <c r="N60" s="6" t="str">
        <f aca="false">IF($C60="","",COUNTIFS(Recipes!$C$5:$C$104,$C60,Recipes!$B$5:$B$104,"C"))</f>
        <v/>
      </c>
      <c r="O60" s="6" t="str">
        <f aca="false">IF(OR($B60&lt;&gt;"C",$E60&lt;&gt;"A"),"",$D60+SUMPRODUCT((Recipes!$A$5:$A$104=$A60)*(Recipes!$B$5:$B$104="C")*(Recipes!$E$5:$E$104="B")*Recipes!$D$5:$D$104*SUMIFS(Recipes!$D$5:$D$104,Recipes!$A$5:$A$104,Recipes!$C$5:$C$104,Recipes!$B$5:$B$104,"B",Recipes!$C$5:$C$104,$C60)))</f>
        <v/>
      </c>
    </row>
    <row r="61" customFormat="false" ht="15" hidden="false" customHeight="false" outlineLevel="0" collapsed="false">
      <c r="A61" s="4"/>
      <c r="B61" s="4"/>
      <c r="C61" s="4"/>
      <c r="D61" s="4"/>
      <c r="E61" s="5" t="str">
        <f aca="false">IF($C61="","",IF(ISNUMBER(MATCH($C61,'A Loose'!$A$5:$A$104,0)),"A",IF(ISNUMBER(MATCH($C61,'B Made'!$A$5:$A$104,0)),"B","?? unknown code")))</f>
        <v/>
      </c>
      <c r="F61" s="5" t="str">
        <f aca="false">IF($C61="","",IFERROR(IF($E61="A",INDEX('A Loose'!$B$5:$B$104,MATCH($C61,'A Loose'!$A$5:$A$104,0)),IF($E61="B",INDEX('B Made'!$B$5:$B$104,MATCH($C61,'B Made'!$A$5:$A$104,0)),"")),""))</f>
        <v/>
      </c>
      <c r="G61" s="6" t="str">
        <f aca="false">IF($A61="","",IF($B61="B",IFERROR(INDEX('B Made'!$G$5:$G$104,MATCH($A61,'B Made'!$A$5:$A$104,0)),0),IF($B61="C",IFERROR(INDEX('C Kits'!$E$5:$E$104,MATCH($A61,'C Kits'!$A$5:$A$104,0)),0),0)))</f>
        <v/>
      </c>
      <c r="H61" s="5" t="str">
        <f aca="false">IF($A61="","",$D61*$G61)</f>
        <v/>
      </c>
      <c r="I61" s="6" t="str">
        <f aca="false">IF($B61&lt;&gt;"B","",IFERROR(IF($D61=0,0,FLOOR(MAX(0,INDEX('A Loose'!$K$5:$K$104,MATCH($C61,'A Loose'!$A$5:$A$104,0)))/$D61,1)),0))</f>
        <v/>
      </c>
      <c r="J61" s="6" t="str">
        <f aca="false">IF($B61&lt;&gt;"C","",IFERROR(IF($E61="B",IF($D61=0,0,FLOOR(MAX(0,INDEX('B Made'!$F$5:$F$104,MATCH($C61,'B Made'!$A$5:$A$104,0)))/$D61,1)),IF($O61=0,0,FLOOR(MAX(0,INDEX('A Loose'!$K$5:$K$104,MATCH($C61,'A Loose'!$A$5:$A$104,0)))/$O61,1))),0))</f>
        <v/>
      </c>
      <c r="K61" s="6" t="str">
        <f aca="false">IF($B61&lt;&gt;"C","",IFERROR(IF($E61="B",IF($D61=0,0,FLOOR(MAX(0,INDEX('B Made'!$I$5:$I$104,MATCH($C61,'B Made'!$A$5:$A$104,0)))/$D61,1)),IF($O61=0,0,FLOOR(MAX(0,INDEX('A Loose'!$K$5:$K$104,MATCH($C61,'A Loose'!$A$5:$A$104,0)))/$O61,1))),0))</f>
        <v/>
      </c>
      <c r="L61" s="6" t="str">
        <f aca="false">IF($B61&lt;&gt;"C","",$A61&amp;"|"&amp;$K61)</f>
        <v/>
      </c>
      <c r="M61" s="6" t="str">
        <f aca="false">IF($B61&lt;&gt;"B","",$A61&amp;"|"&amp;$I61)</f>
        <v/>
      </c>
      <c r="N61" s="6" t="str">
        <f aca="false">IF($C61="","",COUNTIFS(Recipes!$C$5:$C$104,$C61,Recipes!$B$5:$B$104,"C"))</f>
        <v/>
      </c>
      <c r="O61" s="6" t="str">
        <f aca="false">IF(OR($B61&lt;&gt;"C",$E61&lt;&gt;"A"),"",$D61+SUMPRODUCT((Recipes!$A$5:$A$104=$A61)*(Recipes!$B$5:$B$104="C")*(Recipes!$E$5:$E$104="B")*Recipes!$D$5:$D$104*SUMIFS(Recipes!$D$5:$D$104,Recipes!$A$5:$A$104,Recipes!$C$5:$C$104,Recipes!$B$5:$B$104,"B",Recipes!$C$5:$C$104,$C61)))</f>
        <v/>
      </c>
    </row>
    <row r="62" customFormat="false" ht="15" hidden="false" customHeight="false" outlineLevel="0" collapsed="false">
      <c r="A62" s="4"/>
      <c r="B62" s="4"/>
      <c r="C62" s="4"/>
      <c r="D62" s="4"/>
      <c r="E62" s="5" t="str">
        <f aca="false">IF($C62="","",IF(ISNUMBER(MATCH($C62,'A Loose'!$A$5:$A$104,0)),"A",IF(ISNUMBER(MATCH($C62,'B Made'!$A$5:$A$104,0)),"B","?? unknown code")))</f>
        <v/>
      </c>
      <c r="F62" s="5" t="str">
        <f aca="false">IF($C62="","",IFERROR(IF($E62="A",INDEX('A Loose'!$B$5:$B$104,MATCH($C62,'A Loose'!$A$5:$A$104,0)),IF($E62="B",INDEX('B Made'!$B$5:$B$104,MATCH($C62,'B Made'!$A$5:$A$104,0)),"")),""))</f>
        <v/>
      </c>
      <c r="G62" s="6" t="str">
        <f aca="false">IF($A62="","",IF($B62="B",IFERROR(INDEX('B Made'!$G$5:$G$104,MATCH($A62,'B Made'!$A$5:$A$104,0)),0),IF($B62="C",IFERROR(INDEX('C Kits'!$E$5:$E$104,MATCH($A62,'C Kits'!$A$5:$A$104,0)),0),0)))</f>
        <v/>
      </c>
      <c r="H62" s="5" t="str">
        <f aca="false">IF($A62="","",$D62*$G62)</f>
        <v/>
      </c>
      <c r="I62" s="6" t="str">
        <f aca="false">IF($B62&lt;&gt;"B","",IFERROR(IF($D62=0,0,FLOOR(MAX(0,INDEX('A Loose'!$K$5:$K$104,MATCH($C62,'A Loose'!$A$5:$A$104,0)))/$D62,1)),0))</f>
        <v/>
      </c>
      <c r="J62" s="6" t="str">
        <f aca="false">IF($B62&lt;&gt;"C","",IFERROR(IF($E62="B",IF($D62=0,0,FLOOR(MAX(0,INDEX('B Made'!$F$5:$F$104,MATCH($C62,'B Made'!$A$5:$A$104,0)))/$D62,1)),IF($O62=0,0,FLOOR(MAX(0,INDEX('A Loose'!$K$5:$K$104,MATCH($C62,'A Loose'!$A$5:$A$104,0)))/$O62,1))),0))</f>
        <v/>
      </c>
      <c r="K62" s="6" t="str">
        <f aca="false">IF($B62&lt;&gt;"C","",IFERROR(IF($E62="B",IF($D62=0,0,FLOOR(MAX(0,INDEX('B Made'!$I$5:$I$104,MATCH($C62,'B Made'!$A$5:$A$104,0)))/$D62,1)),IF($O62=0,0,FLOOR(MAX(0,INDEX('A Loose'!$K$5:$K$104,MATCH($C62,'A Loose'!$A$5:$A$104,0)))/$O62,1))),0))</f>
        <v/>
      </c>
      <c r="L62" s="6" t="str">
        <f aca="false">IF($B62&lt;&gt;"C","",$A62&amp;"|"&amp;$K62)</f>
        <v/>
      </c>
      <c r="M62" s="6" t="str">
        <f aca="false">IF($B62&lt;&gt;"B","",$A62&amp;"|"&amp;$I62)</f>
        <v/>
      </c>
      <c r="N62" s="6" t="str">
        <f aca="false">IF($C62="","",COUNTIFS(Recipes!$C$5:$C$104,$C62,Recipes!$B$5:$B$104,"C"))</f>
        <v/>
      </c>
      <c r="O62" s="6" t="str">
        <f aca="false">IF(OR($B62&lt;&gt;"C",$E62&lt;&gt;"A"),"",$D62+SUMPRODUCT((Recipes!$A$5:$A$104=$A62)*(Recipes!$B$5:$B$104="C")*(Recipes!$E$5:$E$104="B")*Recipes!$D$5:$D$104*SUMIFS(Recipes!$D$5:$D$104,Recipes!$A$5:$A$104,Recipes!$C$5:$C$104,Recipes!$B$5:$B$104,"B",Recipes!$C$5:$C$104,$C62)))</f>
        <v/>
      </c>
    </row>
    <row r="63" customFormat="false" ht="15" hidden="false" customHeight="false" outlineLevel="0" collapsed="false">
      <c r="A63" s="4"/>
      <c r="B63" s="4"/>
      <c r="C63" s="4"/>
      <c r="D63" s="4"/>
      <c r="E63" s="5" t="str">
        <f aca="false">IF($C63="","",IF(ISNUMBER(MATCH($C63,'A Loose'!$A$5:$A$104,0)),"A",IF(ISNUMBER(MATCH($C63,'B Made'!$A$5:$A$104,0)),"B","?? unknown code")))</f>
        <v/>
      </c>
      <c r="F63" s="5" t="str">
        <f aca="false">IF($C63="","",IFERROR(IF($E63="A",INDEX('A Loose'!$B$5:$B$104,MATCH($C63,'A Loose'!$A$5:$A$104,0)),IF($E63="B",INDEX('B Made'!$B$5:$B$104,MATCH($C63,'B Made'!$A$5:$A$104,0)),"")),""))</f>
        <v/>
      </c>
      <c r="G63" s="6" t="str">
        <f aca="false">IF($A63="","",IF($B63="B",IFERROR(INDEX('B Made'!$G$5:$G$104,MATCH($A63,'B Made'!$A$5:$A$104,0)),0),IF($B63="C",IFERROR(INDEX('C Kits'!$E$5:$E$104,MATCH($A63,'C Kits'!$A$5:$A$104,0)),0),0)))</f>
        <v/>
      </c>
      <c r="H63" s="5" t="str">
        <f aca="false">IF($A63="","",$D63*$G63)</f>
        <v/>
      </c>
      <c r="I63" s="6" t="str">
        <f aca="false">IF($B63&lt;&gt;"B","",IFERROR(IF($D63=0,0,FLOOR(MAX(0,INDEX('A Loose'!$K$5:$K$104,MATCH($C63,'A Loose'!$A$5:$A$104,0)))/$D63,1)),0))</f>
        <v/>
      </c>
      <c r="J63" s="6" t="str">
        <f aca="false">IF($B63&lt;&gt;"C","",IFERROR(IF($E63="B",IF($D63=0,0,FLOOR(MAX(0,INDEX('B Made'!$F$5:$F$104,MATCH($C63,'B Made'!$A$5:$A$104,0)))/$D63,1)),IF($O63=0,0,FLOOR(MAX(0,INDEX('A Loose'!$K$5:$K$104,MATCH($C63,'A Loose'!$A$5:$A$104,0)))/$O63,1))),0))</f>
        <v/>
      </c>
      <c r="K63" s="6" t="str">
        <f aca="false">IF($B63&lt;&gt;"C","",IFERROR(IF($E63="B",IF($D63=0,0,FLOOR(MAX(0,INDEX('B Made'!$I$5:$I$104,MATCH($C63,'B Made'!$A$5:$A$104,0)))/$D63,1)),IF($O63=0,0,FLOOR(MAX(0,INDEX('A Loose'!$K$5:$K$104,MATCH($C63,'A Loose'!$A$5:$A$104,0)))/$O63,1))),0))</f>
        <v/>
      </c>
      <c r="L63" s="6" t="str">
        <f aca="false">IF($B63&lt;&gt;"C","",$A63&amp;"|"&amp;$K63)</f>
        <v/>
      </c>
      <c r="M63" s="6" t="str">
        <f aca="false">IF($B63&lt;&gt;"B","",$A63&amp;"|"&amp;$I63)</f>
        <v/>
      </c>
      <c r="N63" s="6" t="str">
        <f aca="false">IF($C63="","",COUNTIFS(Recipes!$C$5:$C$104,$C63,Recipes!$B$5:$B$104,"C"))</f>
        <v/>
      </c>
      <c r="O63" s="6" t="str">
        <f aca="false">IF(OR($B63&lt;&gt;"C",$E63&lt;&gt;"A"),"",$D63+SUMPRODUCT((Recipes!$A$5:$A$104=$A63)*(Recipes!$B$5:$B$104="C")*(Recipes!$E$5:$E$104="B")*Recipes!$D$5:$D$104*SUMIFS(Recipes!$D$5:$D$104,Recipes!$A$5:$A$104,Recipes!$C$5:$C$104,Recipes!$B$5:$B$104,"B",Recipes!$C$5:$C$104,$C63)))</f>
        <v/>
      </c>
    </row>
    <row r="64" customFormat="false" ht="15" hidden="false" customHeight="false" outlineLevel="0" collapsed="false">
      <c r="A64" s="4"/>
      <c r="B64" s="4"/>
      <c r="C64" s="4"/>
      <c r="D64" s="4"/>
      <c r="E64" s="5" t="str">
        <f aca="false">IF($C64="","",IF(ISNUMBER(MATCH($C64,'A Loose'!$A$5:$A$104,0)),"A",IF(ISNUMBER(MATCH($C64,'B Made'!$A$5:$A$104,0)),"B","?? unknown code")))</f>
        <v/>
      </c>
      <c r="F64" s="5" t="str">
        <f aca="false">IF($C64="","",IFERROR(IF($E64="A",INDEX('A Loose'!$B$5:$B$104,MATCH($C64,'A Loose'!$A$5:$A$104,0)),IF($E64="B",INDEX('B Made'!$B$5:$B$104,MATCH($C64,'B Made'!$A$5:$A$104,0)),"")),""))</f>
        <v/>
      </c>
      <c r="G64" s="6" t="str">
        <f aca="false">IF($A64="","",IF($B64="B",IFERROR(INDEX('B Made'!$G$5:$G$104,MATCH($A64,'B Made'!$A$5:$A$104,0)),0),IF($B64="C",IFERROR(INDEX('C Kits'!$E$5:$E$104,MATCH($A64,'C Kits'!$A$5:$A$104,0)),0),0)))</f>
        <v/>
      </c>
      <c r="H64" s="5" t="str">
        <f aca="false">IF($A64="","",$D64*$G64)</f>
        <v/>
      </c>
      <c r="I64" s="6" t="str">
        <f aca="false">IF($B64&lt;&gt;"B","",IFERROR(IF($D64=0,0,FLOOR(MAX(0,INDEX('A Loose'!$K$5:$K$104,MATCH($C64,'A Loose'!$A$5:$A$104,0)))/$D64,1)),0))</f>
        <v/>
      </c>
      <c r="J64" s="6" t="str">
        <f aca="false">IF($B64&lt;&gt;"C","",IFERROR(IF($E64="B",IF($D64=0,0,FLOOR(MAX(0,INDEX('B Made'!$F$5:$F$104,MATCH($C64,'B Made'!$A$5:$A$104,0)))/$D64,1)),IF($O64=0,0,FLOOR(MAX(0,INDEX('A Loose'!$K$5:$K$104,MATCH($C64,'A Loose'!$A$5:$A$104,0)))/$O64,1))),0))</f>
        <v/>
      </c>
      <c r="K64" s="6" t="str">
        <f aca="false">IF($B64&lt;&gt;"C","",IFERROR(IF($E64="B",IF($D64=0,0,FLOOR(MAX(0,INDEX('B Made'!$I$5:$I$104,MATCH($C64,'B Made'!$A$5:$A$104,0)))/$D64,1)),IF($O64=0,0,FLOOR(MAX(0,INDEX('A Loose'!$K$5:$K$104,MATCH($C64,'A Loose'!$A$5:$A$104,0)))/$O64,1))),0))</f>
        <v/>
      </c>
      <c r="L64" s="6" t="str">
        <f aca="false">IF($B64&lt;&gt;"C","",$A64&amp;"|"&amp;$K64)</f>
        <v/>
      </c>
      <c r="M64" s="6" t="str">
        <f aca="false">IF($B64&lt;&gt;"B","",$A64&amp;"|"&amp;$I64)</f>
        <v/>
      </c>
      <c r="N64" s="6" t="str">
        <f aca="false">IF($C64="","",COUNTIFS(Recipes!$C$5:$C$104,$C64,Recipes!$B$5:$B$104,"C"))</f>
        <v/>
      </c>
      <c r="O64" s="6" t="str">
        <f aca="false">IF(OR($B64&lt;&gt;"C",$E64&lt;&gt;"A"),"",$D64+SUMPRODUCT((Recipes!$A$5:$A$104=$A64)*(Recipes!$B$5:$B$104="C")*(Recipes!$E$5:$E$104="B")*Recipes!$D$5:$D$104*SUMIFS(Recipes!$D$5:$D$104,Recipes!$A$5:$A$104,Recipes!$C$5:$C$104,Recipes!$B$5:$B$104,"B",Recipes!$C$5:$C$104,$C64)))</f>
        <v/>
      </c>
    </row>
    <row r="65" customFormat="false" ht="15" hidden="false" customHeight="false" outlineLevel="0" collapsed="false">
      <c r="A65" s="4"/>
      <c r="B65" s="4"/>
      <c r="C65" s="4"/>
      <c r="D65" s="4"/>
      <c r="E65" s="5" t="str">
        <f aca="false">IF($C65="","",IF(ISNUMBER(MATCH($C65,'A Loose'!$A$5:$A$104,0)),"A",IF(ISNUMBER(MATCH($C65,'B Made'!$A$5:$A$104,0)),"B","?? unknown code")))</f>
        <v/>
      </c>
      <c r="F65" s="5" t="str">
        <f aca="false">IF($C65="","",IFERROR(IF($E65="A",INDEX('A Loose'!$B$5:$B$104,MATCH($C65,'A Loose'!$A$5:$A$104,0)),IF($E65="B",INDEX('B Made'!$B$5:$B$104,MATCH($C65,'B Made'!$A$5:$A$104,0)),"")),""))</f>
        <v/>
      </c>
      <c r="G65" s="6" t="str">
        <f aca="false">IF($A65="","",IF($B65="B",IFERROR(INDEX('B Made'!$G$5:$G$104,MATCH($A65,'B Made'!$A$5:$A$104,0)),0),IF($B65="C",IFERROR(INDEX('C Kits'!$E$5:$E$104,MATCH($A65,'C Kits'!$A$5:$A$104,0)),0),0)))</f>
        <v/>
      </c>
      <c r="H65" s="5" t="str">
        <f aca="false">IF($A65="","",$D65*$G65)</f>
        <v/>
      </c>
      <c r="I65" s="6" t="str">
        <f aca="false">IF($B65&lt;&gt;"B","",IFERROR(IF($D65=0,0,FLOOR(MAX(0,INDEX('A Loose'!$K$5:$K$104,MATCH($C65,'A Loose'!$A$5:$A$104,0)))/$D65,1)),0))</f>
        <v/>
      </c>
      <c r="J65" s="6" t="str">
        <f aca="false">IF($B65&lt;&gt;"C","",IFERROR(IF($E65="B",IF($D65=0,0,FLOOR(MAX(0,INDEX('B Made'!$F$5:$F$104,MATCH($C65,'B Made'!$A$5:$A$104,0)))/$D65,1)),IF($O65=0,0,FLOOR(MAX(0,INDEX('A Loose'!$K$5:$K$104,MATCH($C65,'A Loose'!$A$5:$A$104,0)))/$O65,1))),0))</f>
        <v/>
      </c>
      <c r="K65" s="6" t="str">
        <f aca="false">IF($B65&lt;&gt;"C","",IFERROR(IF($E65="B",IF($D65=0,0,FLOOR(MAX(0,INDEX('B Made'!$I$5:$I$104,MATCH($C65,'B Made'!$A$5:$A$104,0)))/$D65,1)),IF($O65=0,0,FLOOR(MAX(0,INDEX('A Loose'!$K$5:$K$104,MATCH($C65,'A Loose'!$A$5:$A$104,0)))/$O65,1))),0))</f>
        <v/>
      </c>
      <c r="L65" s="6" t="str">
        <f aca="false">IF($B65&lt;&gt;"C","",$A65&amp;"|"&amp;$K65)</f>
        <v/>
      </c>
      <c r="M65" s="6" t="str">
        <f aca="false">IF($B65&lt;&gt;"B","",$A65&amp;"|"&amp;$I65)</f>
        <v/>
      </c>
      <c r="N65" s="6" t="str">
        <f aca="false">IF($C65="","",COUNTIFS(Recipes!$C$5:$C$104,$C65,Recipes!$B$5:$B$104,"C"))</f>
        <v/>
      </c>
      <c r="O65" s="6" t="str">
        <f aca="false">IF(OR($B65&lt;&gt;"C",$E65&lt;&gt;"A"),"",$D65+SUMPRODUCT((Recipes!$A$5:$A$104=$A65)*(Recipes!$B$5:$B$104="C")*(Recipes!$E$5:$E$104="B")*Recipes!$D$5:$D$104*SUMIFS(Recipes!$D$5:$D$104,Recipes!$A$5:$A$104,Recipes!$C$5:$C$104,Recipes!$B$5:$B$104,"B",Recipes!$C$5:$C$104,$C65)))</f>
        <v/>
      </c>
    </row>
    <row r="66" customFormat="false" ht="15" hidden="false" customHeight="false" outlineLevel="0" collapsed="false">
      <c r="A66" s="4"/>
      <c r="B66" s="4"/>
      <c r="C66" s="4"/>
      <c r="D66" s="4"/>
      <c r="E66" s="5" t="str">
        <f aca="false">IF($C66="","",IF(ISNUMBER(MATCH($C66,'A Loose'!$A$5:$A$104,0)),"A",IF(ISNUMBER(MATCH($C66,'B Made'!$A$5:$A$104,0)),"B","?? unknown code")))</f>
        <v/>
      </c>
      <c r="F66" s="5" t="str">
        <f aca="false">IF($C66="","",IFERROR(IF($E66="A",INDEX('A Loose'!$B$5:$B$104,MATCH($C66,'A Loose'!$A$5:$A$104,0)),IF($E66="B",INDEX('B Made'!$B$5:$B$104,MATCH($C66,'B Made'!$A$5:$A$104,0)),"")),""))</f>
        <v/>
      </c>
      <c r="G66" s="6" t="str">
        <f aca="false">IF($A66="","",IF($B66="B",IFERROR(INDEX('B Made'!$G$5:$G$104,MATCH($A66,'B Made'!$A$5:$A$104,0)),0),IF($B66="C",IFERROR(INDEX('C Kits'!$E$5:$E$104,MATCH($A66,'C Kits'!$A$5:$A$104,0)),0),0)))</f>
        <v/>
      </c>
      <c r="H66" s="5" t="str">
        <f aca="false">IF($A66="","",$D66*$G66)</f>
        <v/>
      </c>
      <c r="I66" s="6" t="str">
        <f aca="false">IF($B66&lt;&gt;"B","",IFERROR(IF($D66=0,0,FLOOR(MAX(0,INDEX('A Loose'!$K$5:$K$104,MATCH($C66,'A Loose'!$A$5:$A$104,0)))/$D66,1)),0))</f>
        <v/>
      </c>
      <c r="J66" s="6" t="str">
        <f aca="false">IF($B66&lt;&gt;"C","",IFERROR(IF($E66="B",IF($D66=0,0,FLOOR(MAX(0,INDEX('B Made'!$F$5:$F$104,MATCH($C66,'B Made'!$A$5:$A$104,0)))/$D66,1)),IF($O66=0,0,FLOOR(MAX(0,INDEX('A Loose'!$K$5:$K$104,MATCH($C66,'A Loose'!$A$5:$A$104,0)))/$O66,1))),0))</f>
        <v/>
      </c>
      <c r="K66" s="6" t="str">
        <f aca="false">IF($B66&lt;&gt;"C","",IFERROR(IF($E66="B",IF($D66=0,0,FLOOR(MAX(0,INDEX('B Made'!$I$5:$I$104,MATCH($C66,'B Made'!$A$5:$A$104,0)))/$D66,1)),IF($O66=0,0,FLOOR(MAX(0,INDEX('A Loose'!$K$5:$K$104,MATCH($C66,'A Loose'!$A$5:$A$104,0)))/$O66,1))),0))</f>
        <v/>
      </c>
      <c r="L66" s="6" t="str">
        <f aca="false">IF($B66&lt;&gt;"C","",$A66&amp;"|"&amp;$K66)</f>
        <v/>
      </c>
      <c r="M66" s="6" t="str">
        <f aca="false">IF($B66&lt;&gt;"B","",$A66&amp;"|"&amp;$I66)</f>
        <v/>
      </c>
      <c r="N66" s="6" t="str">
        <f aca="false">IF($C66="","",COUNTIFS(Recipes!$C$5:$C$104,$C66,Recipes!$B$5:$B$104,"C"))</f>
        <v/>
      </c>
      <c r="O66" s="6" t="str">
        <f aca="false">IF(OR($B66&lt;&gt;"C",$E66&lt;&gt;"A"),"",$D66+SUMPRODUCT((Recipes!$A$5:$A$104=$A66)*(Recipes!$B$5:$B$104="C")*(Recipes!$E$5:$E$104="B")*Recipes!$D$5:$D$104*SUMIFS(Recipes!$D$5:$D$104,Recipes!$A$5:$A$104,Recipes!$C$5:$C$104,Recipes!$B$5:$B$104,"B",Recipes!$C$5:$C$104,$C66)))</f>
        <v/>
      </c>
    </row>
    <row r="67" customFormat="false" ht="15" hidden="false" customHeight="false" outlineLevel="0" collapsed="false">
      <c r="A67" s="4"/>
      <c r="B67" s="4"/>
      <c r="C67" s="4"/>
      <c r="D67" s="4"/>
      <c r="E67" s="5" t="str">
        <f aca="false">IF($C67="","",IF(ISNUMBER(MATCH($C67,'A Loose'!$A$5:$A$104,0)),"A",IF(ISNUMBER(MATCH($C67,'B Made'!$A$5:$A$104,0)),"B","?? unknown code")))</f>
        <v/>
      </c>
      <c r="F67" s="5" t="str">
        <f aca="false">IF($C67="","",IFERROR(IF($E67="A",INDEX('A Loose'!$B$5:$B$104,MATCH($C67,'A Loose'!$A$5:$A$104,0)),IF($E67="B",INDEX('B Made'!$B$5:$B$104,MATCH($C67,'B Made'!$A$5:$A$104,0)),"")),""))</f>
        <v/>
      </c>
      <c r="G67" s="6" t="str">
        <f aca="false">IF($A67="","",IF($B67="B",IFERROR(INDEX('B Made'!$G$5:$G$104,MATCH($A67,'B Made'!$A$5:$A$104,0)),0),IF($B67="C",IFERROR(INDEX('C Kits'!$E$5:$E$104,MATCH($A67,'C Kits'!$A$5:$A$104,0)),0),0)))</f>
        <v/>
      </c>
      <c r="H67" s="5" t="str">
        <f aca="false">IF($A67="","",$D67*$G67)</f>
        <v/>
      </c>
      <c r="I67" s="6" t="str">
        <f aca="false">IF($B67&lt;&gt;"B","",IFERROR(IF($D67=0,0,FLOOR(MAX(0,INDEX('A Loose'!$K$5:$K$104,MATCH($C67,'A Loose'!$A$5:$A$104,0)))/$D67,1)),0))</f>
        <v/>
      </c>
      <c r="J67" s="6" t="str">
        <f aca="false">IF($B67&lt;&gt;"C","",IFERROR(IF($E67="B",IF($D67=0,0,FLOOR(MAX(0,INDEX('B Made'!$F$5:$F$104,MATCH($C67,'B Made'!$A$5:$A$104,0)))/$D67,1)),IF($O67=0,0,FLOOR(MAX(0,INDEX('A Loose'!$K$5:$K$104,MATCH($C67,'A Loose'!$A$5:$A$104,0)))/$O67,1))),0))</f>
        <v/>
      </c>
      <c r="K67" s="6" t="str">
        <f aca="false">IF($B67&lt;&gt;"C","",IFERROR(IF($E67="B",IF($D67=0,0,FLOOR(MAX(0,INDEX('B Made'!$I$5:$I$104,MATCH($C67,'B Made'!$A$5:$A$104,0)))/$D67,1)),IF($O67=0,0,FLOOR(MAX(0,INDEX('A Loose'!$K$5:$K$104,MATCH($C67,'A Loose'!$A$5:$A$104,0)))/$O67,1))),0))</f>
        <v/>
      </c>
      <c r="L67" s="6" t="str">
        <f aca="false">IF($B67&lt;&gt;"C","",$A67&amp;"|"&amp;$K67)</f>
        <v/>
      </c>
      <c r="M67" s="6" t="str">
        <f aca="false">IF($B67&lt;&gt;"B","",$A67&amp;"|"&amp;$I67)</f>
        <v/>
      </c>
      <c r="N67" s="6" t="str">
        <f aca="false">IF($C67="","",COUNTIFS(Recipes!$C$5:$C$104,$C67,Recipes!$B$5:$B$104,"C"))</f>
        <v/>
      </c>
      <c r="O67" s="6" t="str">
        <f aca="false">IF(OR($B67&lt;&gt;"C",$E67&lt;&gt;"A"),"",$D67+SUMPRODUCT((Recipes!$A$5:$A$104=$A67)*(Recipes!$B$5:$B$104="C")*(Recipes!$E$5:$E$104="B")*Recipes!$D$5:$D$104*SUMIFS(Recipes!$D$5:$D$104,Recipes!$A$5:$A$104,Recipes!$C$5:$C$104,Recipes!$B$5:$B$104,"B",Recipes!$C$5:$C$104,$C67)))</f>
        <v/>
      </c>
    </row>
    <row r="68" customFormat="false" ht="15" hidden="false" customHeight="false" outlineLevel="0" collapsed="false">
      <c r="A68" s="4"/>
      <c r="B68" s="4"/>
      <c r="C68" s="4"/>
      <c r="D68" s="4"/>
      <c r="E68" s="5" t="str">
        <f aca="false">IF($C68="","",IF(ISNUMBER(MATCH($C68,'A Loose'!$A$5:$A$104,0)),"A",IF(ISNUMBER(MATCH($C68,'B Made'!$A$5:$A$104,0)),"B","?? unknown code")))</f>
        <v/>
      </c>
      <c r="F68" s="5" t="str">
        <f aca="false">IF($C68="","",IFERROR(IF($E68="A",INDEX('A Loose'!$B$5:$B$104,MATCH($C68,'A Loose'!$A$5:$A$104,0)),IF($E68="B",INDEX('B Made'!$B$5:$B$104,MATCH($C68,'B Made'!$A$5:$A$104,0)),"")),""))</f>
        <v/>
      </c>
      <c r="G68" s="6" t="str">
        <f aca="false">IF($A68="","",IF($B68="B",IFERROR(INDEX('B Made'!$G$5:$G$104,MATCH($A68,'B Made'!$A$5:$A$104,0)),0),IF($B68="C",IFERROR(INDEX('C Kits'!$E$5:$E$104,MATCH($A68,'C Kits'!$A$5:$A$104,0)),0),0)))</f>
        <v/>
      </c>
      <c r="H68" s="5" t="str">
        <f aca="false">IF($A68="","",$D68*$G68)</f>
        <v/>
      </c>
      <c r="I68" s="6" t="str">
        <f aca="false">IF($B68&lt;&gt;"B","",IFERROR(IF($D68=0,0,FLOOR(MAX(0,INDEX('A Loose'!$K$5:$K$104,MATCH($C68,'A Loose'!$A$5:$A$104,0)))/$D68,1)),0))</f>
        <v/>
      </c>
      <c r="J68" s="6" t="str">
        <f aca="false">IF($B68&lt;&gt;"C","",IFERROR(IF($E68="B",IF($D68=0,0,FLOOR(MAX(0,INDEX('B Made'!$F$5:$F$104,MATCH($C68,'B Made'!$A$5:$A$104,0)))/$D68,1)),IF($O68=0,0,FLOOR(MAX(0,INDEX('A Loose'!$K$5:$K$104,MATCH($C68,'A Loose'!$A$5:$A$104,0)))/$O68,1))),0))</f>
        <v/>
      </c>
      <c r="K68" s="6" t="str">
        <f aca="false">IF($B68&lt;&gt;"C","",IFERROR(IF($E68="B",IF($D68=0,0,FLOOR(MAX(0,INDEX('B Made'!$I$5:$I$104,MATCH($C68,'B Made'!$A$5:$A$104,0)))/$D68,1)),IF($O68=0,0,FLOOR(MAX(0,INDEX('A Loose'!$K$5:$K$104,MATCH($C68,'A Loose'!$A$5:$A$104,0)))/$O68,1))),0))</f>
        <v/>
      </c>
      <c r="L68" s="6" t="str">
        <f aca="false">IF($B68&lt;&gt;"C","",$A68&amp;"|"&amp;$K68)</f>
        <v/>
      </c>
      <c r="M68" s="6" t="str">
        <f aca="false">IF($B68&lt;&gt;"B","",$A68&amp;"|"&amp;$I68)</f>
        <v/>
      </c>
      <c r="N68" s="6" t="str">
        <f aca="false">IF($C68="","",COUNTIFS(Recipes!$C$5:$C$104,$C68,Recipes!$B$5:$B$104,"C"))</f>
        <v/>
      </c>
      <c r="O68" s="6" t="str">
        <f aca="false">IF(OR($B68&lt;&gt;"C",$E68&lt;&gt;"A"),"",$D68+SUMPRODUCT((Recipes!$A$5:$A$104=$A68)*(Recipes!$B$5:$B$104="C")*(Recipes!$E$5:$E$104="B")*Recipes!$D$5:$D$104*SUMIFS(Recipes!$D$5:$D$104,Recipes!$A$5:$A$104,Recipes!$C$5:$C$104,Recipes!$B$5:$B$104,"B",Recipes!$C$5:$C$104,$C68)))</f>
        <v/>
      </c>
    </row>
    <row r="69" customFormat="false" ht="15" hidden="false" customHeight="false" outlineLevel="0" collapsed="false">
      <c r="A69" s="4"/>
      <c r="B69" s="4"/>
      <c r="C69" s="4"/>
      <c r="D69" s="4"/>
      <c r="E69" s="5" t="str">
        <f aca="false">IF($C69="","",IF(ISNUMBER(MATCH($C69,'A Loose'!$A$5:$A$104,0)),"A",IF(ISNUMBER(MATCH($C69,'B Made'!$A$5:$A$104,0)),"B","?? unknown code")))</f>
        <v/>
      </c>
      <c r="F69" s="5" t="str">
        <f aca="false">IF($C69="","",IFERROR(IF($E69="A",INDEX('A Loose'!$B$5:$B$104,MATCH($C69,'A Loose'!$A$5:$A$104,0)),IF($E69="B",INDEX('B Made'!$B$5:$B$104,MATCH($C69,'B Made'!$A$5:$A$104,0)),"")),""))</f>
        <v/>
      </c>
      <c r="G69" s="6" t="str">
        <f aca="false">IF($A69="","",IF($B69="B",IFERROR(INDEX('B Made'!$G$5:$G$104,MATCH($A69,'B Made'!$A$5:$A$104,0)),0),IF($B69="C",IFERROR(INDEX('C Kits'!$E$5:$E$104,MATCH($A69,'C Kits'!$A$5:$A$104,0)),0),0)))</f>
        <v/>
      </c>
      <c r="H69" s="5" t="str">
        <f aca="false">IF($A69="","",$D69*$G69)</f>
        <v/>
      </c>
      <c r="I69" s="6" t="str">
        <f aca="false">IF($B69&lt;&gt;"B","",IFERROR(IF($D69=0,0,FLOOR(MAX(0,INDEX('A Loose'!$K$5:$K$104,MATCH($C69,'A Loose'!$A$5:$A$104,0)))/$D69,1)),0))</f>
        <v/>
      </c>
      <c r="J69" s="6" t="str">
        <f aca="false">IF($B69&lt;&gt;"C","",IFERROR(IF($E69="B",IF($D69=0,0,FLOOR(MAX(0,INDEX('B Made'!$F$5:$F$104,MATCH($C69,'B Made'!$A$5:$A$104,0)))/$D69,1)),IF($O69=0,0,FLOOR(MAX(0,INDEX('A Loose'!$K$5:$K$104,MATCH($C69,'A Loose'!$A$5:$A$104,0)))/$O69,1))),0))</f>
        <v/>
      </c>
      <c r="K69" s="6" t="str">
        <f aca="false">IF($B69&lt;&gt;"C","",IFERROR(IF($E69="B",IF($D69=0,0,FLOOR(MAX(0,INDEX('B Made'!$I$5:$I$104,MATCH($C69,'B Made'!$A$5:$A$104,0)))/$D69,1)),IF($O69=0,0,FLOOR(MAX(0,INDEX('A Loose'!$K$5:$K$104,MATCH($C69,'A Loose'!$A$5:$A$104,0)))/$O69,1))),0))</f>
        <v/>
      </c>
      <c r="L69" s="6" t="str">
        <f aca="false">IF($B69&lt;&gt;"C","",$A69&amp;"|"&amp;$K69)</f>
        <v/>
      </c>
      <c r="M69" s="6" t="str">
        <f aca="false">IF($B69&lt;&gt;"B","",$A69&amp;"|"&amp;$I69)</f>
        <v/>
      </c>
      <c r="N69" s="6" t="str">
        <f aca="false">IF($C69="","",COUNTIFS(Recipes!$C$5:$C$104,$C69,Recipes!$B$5:$B$104,"C"))</f>
        <v/>
      </c>
      <c r="O69" s="6" t="str">
        <f aca="false">IF(OR($B69&lt;&gt;"C",$E69&lt;&gt;"A"),"",$D69+SUMPRODUCT((Recipes!$A$5:$A$104=$A69)*(Recipes!$B$5:$B$104="C")*(Recipes!$E$5:$E$104="B")*Recipes!$D$5:$D$104*SUMIFS(Recipes!$D$5:$D$104,Recipes!$A$5:$A$104,Recipes!$C$5:$C$104,Recipes!$B$5:$B$104,"B",Recipes!$C$5:$C$104,$C69)))</f>
        <v/>
      </c>
    </row>
    <row r="70" customFormat="false" ht="15" hidden="false" customHeight="false" outlineLevel="0" collapsed="false">
      <c r="A70" s="4"/>
      <c r="B70" s="4"/>
      <c r="C70" s="4"/>
      <c r="D70" s="4"/>
      <c r="E70" s="5" t="str">
        <f aca="false">IF($C70="","",IF(ISNUMBER(MATCH($C70,'A Loose'!$A$5:$A$104,0)),"A",IF(ISNUMBER(MATCH($C70,'B Made'!$A$5:$A$104,0)),"B","?? unknown code")))</f>
        <v/>
      </c>
      <c r="F70" s="5" t="str">
        <f aca="false">IF($C70="","",IFERROR(IF($E70="A",INDEX('A Loose'!$B$5:$B$104,MATCH($C70,'A Loose'!$A$5:$A$104,0)),IF($E70="B",INDEX('B Made'!$B$5:$B$104,MATCH($C70,'B Made'!$A$5:$A$104,0)),"")),""))</f>
        <v/>
      </c>
      <c r="G70" s="6" t="str">
        <f aca="false">IF($A70="","",IF($B70="B",IFERROR(INDEX('B Made'!$G$5:$G$104,MATCH($A70,'B Made'!$A$5:$A$104,0)),0),IF($B70="C",IFERROR(INDEX('C Kits'!$E$5:$E$104,MATCH($A70,'C Kits'!$A$5:$A$104,0)),0),0)))</f>
        <v/>
      </c>
      <c r="H70" s="5" t="str">
        <f aca="false">IF($A70="","",$D70*$G70)</f>
        <v/>
      </c>
      <c r="I70" s="6" t="str">
        <f aca="false">IF($B70&lt;&gt;"B","",IFERROR(IF($D70=0,0,FLOOR(MAX(0,INDEX('A Loose'!$K$5:$K$104,MATCH($C70,'A Loose'!$A$5:$A$104,0)))/$D70,1)),0))</f>
        <v/>
      </c>
      <c r="J70" s="6" t="str">
        <f aca="false">IF($B70&lt;&gt;"C","",IFERROR(IF($E70="B",IF($D70=0,0,FLOOR(MAX(0,INDEX('B Made'!$F$5:$F$104,MATCH($C70,'B Made'!$A$5:$A$104,0)))/$D70,1)),IF($O70=0,0,FLOOR(MAX(0,INDEX('A Loose'!$K$5:$K$104,MATCH($C70,'A Loose'!$A$5:$A$104,0)))/$O70,1))),0))</f>
        <v/>
      </c>
      <c r="K70" s="6" t="str">
        <f aca="false">IF($B70&lt;&gt;"C","",IFERROR(IF($E70="B",IF($D70=0,0,FLOOR(MAX(0,INDEX('B Made'!$I$5:$I$104,MATCH($C70,'B Made'!$A$5:$A$104,0)))/$D70,1)),IF($O70=0,0,FLOOR(MAX(0,INDEX('A Loose'!$K$5:$K$104,MATCH($C70,'A Loose'!$A$5:$A$104,0)))/$O70,1))),0))</f>
        <v/>
      </c>
      <c r="L70" s="6" t="str">
        <f aca="false">IF($B70&lt;&gt;"C","",$A70&amp;"|"&amp;$K70)</f>
        <v/>
      </c>
      <c r="M70" s="6" t="str">
        <f aca="false">IF($B70&lt;&gt;"B","",$A70&amp;"|"&amp;$I70)</f>
        <v/>
      </c>
      <c r="N70" s="6" t="str">
        <f aca="false">IF($C70="","",COUNTIFS(Recipes!$C$5:$C$104,$C70,Recipes!$B$5:$B$104,"C"))</f>
        <v/>
      </c>
      <c r="O70" s="6" t="str">
        <f aca="false">IF(OR($B70&lt;&gt;"C",$E70&lt;&gt;"A"),"",$D70+SUMPRODUCT((Recipes!$A$5:$A$104=$A70)*(Recipes!$B$5:$B$104="C")*(Recipes!$E$5:$E$104="B")*Recipes!$D$5:$D$104*SUMIFS(Recipes!$D$5:$D$104,Recipes!$A$5:$A$104,Recipes!$C$5:$C$104,Recipes!$B$5:$B$104,"B",Recipes!$C$5:$C$104,$C70)))</f>
        <v/>
      </c>
    </row>
    <row r="71" customFormat="false" ht="15" hidden="false" customHeight="false" outlineLevel="0" collapsed="false">
      <c r="A71" s="4"/>
      <c r="B71" s="4"/>
      <c r="C71" s="4"/>
      <c r="D71" s="4"/>
      <c r="E71" s="5" t="str">
        <f aca="false">IF($C71="","",IF(ISNUMBER(MATCH($C71,'A Loose'!$A$5:$A$104,0)),"A",IF(ISNUMBER(MATCH($C71,'B Made'!$A$5:$A$104,0)),"B","?? unknown code")))</f>
        <v/>
      </c>
      <c r="F71" s="5" t="str">
        <f aca="false">IF($C71="","",IFERROR(IF($E71="A",INDEX('A Loose'!$B$5:$B$104,MATCH($C71,'A Loose'!$A$5:$A$104,0)),IF($E71="B",INDEX('B Made'!$B$5:$B$104,MATCH($C71,'B Made'!$A$5:$A$104,0)),"")),""))</f>
        <v/>
      </c>
      <c r="G71" s="6" t="str">
        <f aca="false">IF($A71="","",IF($B71="B",IFERROR(INDEX('B Made'!$G$5:$G$104,MATCH($A71,'B Made'!$A$5:$A$104,0)),0),IF($B71="C",IFERROR(INDEX('C Kits'!$E$5:$E$104,MATCH($A71,'C Kits'!$A$5:$A$104,0)),0),0)))</f>
        <v/>
      </c>
      <c r="H71" s="5" t="str">
        <f aca="false">IF($A71="","",$D71*$G71)</f>
        <v/>
      </c>
      <c r="I71" s="6" t="str">
        <f aca="false">IF($B71&lt;&gt;"B","",IFERROR(IF($D71=0,0,FLOOR(MAX(0,INDEX('A Loose'!$K$5:$K$104,MATCH($C71,'A Loose'!$A$5:$A$104,0)))/$D71,1)),0))</f>
        <v/>
      </c>
      <c r="J71" s="6" t="str">
        <f aca="false">IF($B71&lt;&gt;"C","",IFERROR(IF($E71="B",IF($D71=0,0,FLOOR(MAX(0,INDEX('B Made'!$F$5:$F$104,MATCH($C71,'B Made'!$A$5:$A$104,0)))/$D71,1)),IF($O71=0,0,FLOOR(MAX(0,INDEX('A Loose'!$K$5:$K$104,MATCH($C71,'A Loose'!$A$5:$A$104,0)))/$O71,1))),0))</f>
        <v/>
      </c>
      <c r="K71" s="6" t="str">
        <f aca="false">IF($B71&lt;&gt;"C","",IFERROR(IF($E71="B",IF($D71=0,0,FLOOR(MAX(0,INDEX('B Made'!$I$5:$I$104,MATCH($C71,'B Made'!$A$5:$A$104,0)))/$D71,1)),IF($O71=0,0,FLOOR(MAX(0,INDEX('A Loose'!$K$5:$K$104,MATCH($C71,'A Loose'!$A$5:$A$104,0)))/$O71,1))),0))</f>
        <v/>
      </c>
      <c r="L71" s="6" t="str">
        <f aca="false">IF($B71&lt;&gt;"C","",$A71&amp;"|"&amp;$K71)</f>
        <v/>
      </c>
      <c r="M71" s="6" t="str">
        <f aca="false">IF($B71&lt;&gt;"B","",$A71&amp;"|"&amp;$I71)</f>
        <v/>
      </c>
      <c r="N71" s="6" t="str">
        <f aca="false">IF($C71="","",COUNTIFS(Recipes!$C$5:$C$104,$C71,Recipes!$B$5:$B$104,"C"))</f>
        <v/>
      </c>
      <c r="O71" s="6" t="str">
        <f aca="false">IF(OR($B71&lt;&gt;"C",$E71&lt;&gt;"A"),"",$D71+SUMPRODUCT((Recipes!$A$5:$A$104=$A71)*(Recipes!$B$5:$B$104="C")*(Recipes!$E$5:$E$104="B")*Recipes!$D$5:$D$104*SUMIFS(Recipes!$D$5:$D$104,Recipes!$A$5:$A$104,Recipes!$C$5:$C$104,Recipes!$B$5:$B$104,"B",Recipes!$C$5:$C$104,$C71)))</f>
        <v/>
      </c>
    </row>
    <row r="72" customFormat="false" ht="15" hidden="false" customHeight="false" outlineLevel="0" collapsed="false">
      <c r="A72" s="4"/>
      <c r="B72" s="4"/>
      <c r="C72" s="4"/>
      <c r="D72" s="4"/>
      <c r="E72" s="5" t="str">
        <f aca="false">IF($C72="","",IF(ISNUMBER(MATCH($C72,'A Loose'!$A$5:$A$104,0)),"A",IF(ISNUMBER(MATCH($C72,'B Made'!$A$5:$A$104,0)),"B","?? unknown code")))</f>
        <v/>
      </c>
      <c r="F72" s="5" t="str">
        <f aca="false">IF($C72="","",IFERROR(IF($E72="A",INDEX('A Loose'!$B$5:$B$104,MATCH($C72,'A Loose'!$A$5:$A$104,0)),IF($E72="B",INDEX('B Made'!$B$5:$B$104,MATCH($C72,'B Made'!$A$5:$A$104,0)),"")),""))</f>
        <v/>
      </c>
      <c r="G72" s="6" t="str">
        <f aca="false">IF($A72="","",IF($B72="B",IFERROR(INDEX('B Made'!$G$5:$G$104,MATCH($A72,'B Made'!$A$5:$A$104,0)),0),IF($B72="C",IFERROR(INDEX('C Kits'!$E$5:$E$104,MATCH($A72,'C Kits'!$A$5:$A$104,0)),0),0)))</f>
        <v/>
      </c>
      <c r="H72" s="5" t="str">
        <f aca="false">IF($A72="","",$D72*$G72)</f>
        <v/>
      </c>
      <c r="I72" s="6" t="str">
        <f aca="false">IF($B72&lt;&gt;"B","",IFERROR(IF($D72=0,0,FLOOR(MAX(0,INDEX('A Loose'!$K$5:$K$104,MATCH($C72,'A Loose'!$A$5:$A$104,0)))/$D72,1)),0))</f>
        <v/>
      </c>
      <c r="J72" s="6" t="str">
        <f aca="false">IF($B72&lt;&gt;"C","",IFERROR(IF($E72="B",IF($D72=0,0,FLOOR(MAX(0,INDEX('B Made'!$F$5:$F$104,MATCH($C72,'B Made'!$A$5:$A$104,0)))/$D72,1)),IF($O72=0,0,FLOOR(MAX(0,INDEX('A Loose'!$K$5:$K$104,MATCH($C72,'A Loose'!$A$5:$A$104,0)))/$O72,1))),0))</f>
        <v/>
      </c>
      <c r="K72" s="6" t="str">
        <f aca="false">IF($B72&lt;&gt;"C","",IFERROR(IF($E72="B",IF($D72=0,0,FLOOR(MAX(0,INDEX('B Made'!$I$5:$I$104,MATCH($C72,'B Made'!$A$5:$A$104,0)))/$D72,1)),IF($O72=0,0,FLOOR(MAX(0,INDEX('A Loose'!$K$5:$K$104,MATCH($C72,'A Loose'!$A$5:$A$104,0)))/$O72,1))),0))</f>
        <v/>
      </c>
      <c r="L72" s="6" t="str">
        <f aca="false">IF($B72&lt;&gt;"C","",$A72&amp;"|"&amp;$K72)</f>
        <v/>
      </c>
      <c r="M72" s="6" t="str">
        <f aca="false">IF($B72&lt;&gt;"B","",$A72&amp;"|"&amp;$I72)</f>
        <v/>
      </c>
      <c r="N72" s="6" t="str">
        <f aca="false">IF($C72="","",COUNTIFS(Recipes!$C$5:$C$104,$C72,Recipes!$B$5:$B$104,"C"))</f>
        <v/>
      </c>
      <c r="O72" s="6" t="str">
        <f aca="false">IF(OR($B72&lt;&gt;"C",$E72&lt;&gt;"A"),"",$D72+SUMPRODUCT((Recipes!$A$5:$A$104=$A72)*(Recipes!$B$5:$B$104="C")*(Recipes!$E$5:$E$104="B")*Recipes!$D$5:$D$104*SUMIFS(Recipes!$D$5:$D$104,Recipes!$A$5:$A$104,Recipes!$C$5:$C$104,Recipes!$B$5:$B$104,"B",Recipes!$C$5:$C$104,$C72)))</f>
        <v/>
      </c>
    </row>
    <row r="73" customFormat="false" ht="15" hidden="false" customHeight="false" outlineLevel="0" collapsed="false">
      <c r="A73" s="4"/>
      <c r="B73" s="4"/>
      <c r="C73" s="4"/>
      <c r="D73" s="4"/>
      <c r="E73" s="5" t="str">
        <f aca="false">IF($C73="","",IF(ISNUMBER(MATCH($C73,'A Loose'!$A$5:$A$104,0)),"A",IF(ISNUMBER(MATCH($C73,'B Made'!$A$5:$A$104,0)),"B","?? unknown code")))</f>
        <v/>
      </c>
      <c r="F73" s="5" t="str">
        <f aca="false">IF($C73="","",IFERROR(IF($E73="A",INDEX('A Loose'!$B$5:$B$104,MATCH($C73,'A Loose'!$A$5:$A$104,0)),IF($E73="B",INDEX('B Made'!$B$5:$B$104,MATCH($C73,'B Made'!$A$5:$A$104,0)),"")),""))</f>
        <v/>
      </c>
      <c r="G73" s="6" t="str">
        <f aca="false">IF($A73="","",IF($B73="B",IFERROR(INDEX('B Made'!$G$5:$G$104,MATCH($A73,'B Made'!$A$5:$A$104,0)),0),IF($B73="C",IFERROR(INDEX('C Kits'!$E$5:$E$104,MATCH($A73,'C Kits'!$A$5:$A$104,0)),0),0)))</f>
        <v/>
      </c>
      <c r="H73" s="5" t="str">
        <f aca="false">IF($A73="","",$D73*$G73)</f>
        <v/>
      </c>
      <c r="I73" s="6" t="str">
        <f aca="false">IF($B73&lt;&gt;"B","",IFERROR(IF($D73=0,0,FLOOR(MAX(0,INDEX('A Loose'!$K$5:$K$104,MATCH($C73,'A Loose'!$A$5:$A$104,0)))/$D73,1)),0))</f>
        <v/>
      </c>
      <c r="J73" s="6" t="str">
        <f aca="false">IF($B73&lt;&gt;"C","",IFERROR(IF($E73="B",IF($D73=0,0,FLOOR(MAX(0,INDEX('B Made'!$F$5:$F$104,MATCH($C73,'B Made'!$A$5:$A$104,0)))/$D73,1)),IF($O73=0,0,FLOOR(MAX(0,INDEX('A Loose'!$K$5:$K$104,MATCH($C73,'A Loose'!$A$5:$A$104,0)))/$O73,1))),0))</f>
        <v/>
      </c>
      <c r="K73" s="6" t="str">
        <f aca="false">IF($B73&lt;&gt;"C","",IFERROR(IF($E73="B",IF($D73=0,0,FLOOR(MAX(0,INDEX('B Made'!$I$5:$I$104,MATCH($C73,'B Made'!$A$5:$A$104,0)))/$D73,1)),IF($O73=0,0,FLOOR(MAX(0,INDEX('A Loose'!$K$5:$K$104,MATCH($C73,'A Loose'!$A$5:$A$104,0)))/$O73,1))),0))</f>
        <v/>
      </c>
      <c r="L73" s="6" t="str">
        <f aca="false">IF($B73&lt;&gt;"C","",$A73&amp;"|"&amp;$K73)</f>
        <v/>
      </c>
      <c r="M73" s="6" t="str">
        <f aca="false">IF($B73&lt;&gt;"B","",$A73&amp;"|"&amp;$I73)</f>
        <v/>
      </c>
      <c r="N73" s="6" t="str">
        <f aca="false">IF($C73="","",COUNTIFS(Recipes!$C$5:$C$104,$C73,Recipes!$B$5:$B$104,"C"))</f>
        <v/>
      </c>
      <c r="O73" s="6" t="str">
        <f aca="false">IF(OR($B73&lt;&gt;"C",$E73&lt;&gt;"A"),"",$D73+SUMPRODUCT((Recipes!$A$5:$A$104=$A73)*(Recipes!$B$5:$B$104="C")*(Recipes!$E$5:$E$104="B")*Recipes!$D$5:$D$104*SUMIFS(Recipes!$D$5:$D$104,Recipes!$A$5:$A$104,Recipes!$C$5:$C$104,Recipes!$B$5:$B$104,"B",Recipes!$C$5:$C$104,$C73)))</f>
        <v/>
      </c>
    </row>
    <row r="74" customFormat="false" ht="15" hidden="false" customHeight="false" outlineLevel="0" collapsed="false">
      <c r="A74" s="4"/>
      <c r="B74" s="4"/>
      <c r="C74" s="4"/>
      <c r="D74" s="4"/>
      <c r="E74" s="5" t="str">
        <f aca="false">IF($C74="","",IF(ISNUMBER(MATCH($C74,'A Loose'!$A$5:$A$104,0)),"A",IF(ISNUMBER(MATCH($C74,'B Made'!$A$5:$A$104,0)),"B","?? unknown code")))</f>
        <v/>
      </c>
      <c r="F74" s="5" t="str">
        <f aca="false">IF($C74="","",IFERROR(IF($E74="A",INDEX('A Loose'!$B$5:$B$104,MATCH($C74,'A Loose'!$A$5:$A$104,0)),IF($E74="B",INDEX('B Made'!$B$5:$B$104,MATCH($C74,'B Made'!$A$5:$A$104,0)),"")),""))</f>
        <v/>
      </c>
      <c r="G74" s="6" t="str">
        <f aca="false">IF($A74="","",IF($B74="B",IFERROR(INDEX('B Made'!$G$5:$G$104,MATCH($A74,'B Made'!$A$5:$A$104,0)),0),IF($B74="C",IFERROR(INDEX('C Kits'!$E$5:$E$104,MATCH($A74,'C Kits'!$A$5:$A$104,0)),0),0)))</f>
        <v/>
      </c>
      <c r="H74" s="5" t="str">
        <f aca="false">IF($A74="","",$D74*$G74)</f>
        <v/>
      </c>
      <c r="I74" s="6" t="str">
        <f aca="false">IF($B74&lt;&gt;"B","",IFERROR(IF($D74=0,0,FLOOR(MAX(0,INDEX('A Loose'!$K$5:$K$104,MATCH($C74,'A Loose'!$A$5:$A$104,0)))/$D74,1)),0))</f>
        <v/>
      </c>
      <c r="J74" s="6" t="str">
        <f aca="false">IF($B74&lt;&gt;"C","",IFERROR(IF($E74="B",IF($D74=0,0,FLOOR(MAX(0,INDEX('B Made'!$F$5:$F$104,MATCH($C74,'B Made'!$A$5:$A$104,0)))/$D74,1)),IF($O74=0,0,FLOOR(MAX(0,INDEX('A Loose'!$K$5:$K$104,MATCH($C74,'A Loose'!$A$5:$A$104,0)))/$O74,1))),0))</f>
        <v/>
      </c>
      <c r="K74" s="6" t="str">
        <f aca="false">IF($B74&lt;&gt;"C","",IFERROR(IF($E74="B",IF($D74=0,0,FLOOR(MAX(0,INDEX('B Made'!$I$5:$I$104,MATCH($C74,'B Made'!$A$5:$A$104,0)))/$D74,1)),IF($O74=0,0,FLOOR(MAX(0,INDEX('A Loose'!$K$5:$K$104,MATCH($C74,'A Loose'!$A$5:$A$104,0)))/$O74,1))),0))</f>
        <v/>
      </c>
      <c r="L74" s="6" t="str">
        <f aca="false">IF($B74&lt;&gt;"C","",$A74&amp;"|"&amp;$K74)</f>
        <v/>
      </c>
      <c r="M74" s="6" t="str">
        <f aca="false">IF($B74&lt;&gt;"B","",$A74&amp;"|"&amp;$I74)</f>
        <v/>
      </c>
      <c r="N74" s="6" t="str">
        <f aca="false">IF($C74="","",COUNTIFS(Recipes!$C$5:$C$104,$C74,Recipes!$B$5:$B$104,"C"))</f>
        <v/>
      </c>
      <c r="O74" s="6" t="str">
        <f aca="false">IF(OR($B74&lt;&gt;"C",$E74&lt;&gt;"A"),"",$D74+SUMPRODUCT((Recipes!$A$5:$A$104=$A74)*(Recipes!$B$5:$B$104="C")*(Recipes!$E$5:$E$104="B")*Recipes!$D$5:$D$104*SUMIFS(Recipes!$D$5:$D$104,Recipes!$A$5:$A$104,Recipes!$C$5:$C$104,Recipes!$B$5:$B$104,"B",Recipes!$C$5:$C$104,$C74)))</f>
        <v/>
      </c>
    </row>
    <row r="75" customFormat="false" ht="15" hidden="false" customHeight="false" outlineLevel="0" collapsed="false">
      <c r="A75" s="4"/>
      <c r="B75" s="4"/>
      <c r="C75" s="4"/>
      <c r="D75" s="4"/>
      <c r="E75" s="5" t="str">
        <f aca="false">IF($C75="","",IF(ISNUMBER(MATCH($C75,'A Loose'!$A$5:$A$104,0)),"A",IF(ISNUMBER(MATCH($C75,'B Made'!$A$5:$A$104,0)),"B","?? unknown code")))</f>
        <v/>
      </c>
      <c r="F75" s="5" t="str">
        <f aca="false">IF($C75="","",IFERROR(IF($E75="A",INDEX('A Loose'!$B$5:$B$104,MATCH($C75,'A Loose'!$A$5:$A$104,0)),IF($E75="B",INDEX('B Made'!$B$5:$B$104,MATCH($C75,'B Made'!$A$5:$A$104,0)),"")),""))</f>
        <v/>
      </c>
      <c r="G75" s="6" t="str">
        <f aca="false">IF($A75="","",IF($B75="B",IFERROR(INDEX('B Made'!$G$5:$G$104,MATCH($A75,'B Made'!$A$5:$A$104,0)),0),IF($B75="C",IFERROR(INDEX('C Kits'!$E$5:$E$104,MATCH($A75,'C Kits'!$A$5:$A$104,0)),0),0)))</f>
        <v/>
      </c>
      <c r="H75" s="5" t="str">
        <f aca="false">IF($A75="","",$D75*$G75)</f>
        <v/>
      </c>
      <c r="I75" s="6" t="str">
        <f aca="false">IF($B75&lt;&gt;"B","",IFERROR(IF($D75=0,0,FLOOR(MAX(0,INDEX('A Loose'!$K$5:$K$104,MATCH($C75,'A Loose'!$A$5:$A$104,0)))/$D75,1)),0))</f>
        <v/>
      </c>
      <c r="J75" s="6" t="str">
        <f aca="false">IF($B75&lt;&gt;"C","",IFERROR(IF($E75="B",IF($D75=0,0,FLOOR(MAX(0,INDEX('B Made'!$F$5:$F$104,MATCH($C75,'B Made'!$A$5:$A$104,0)))/$D75,1)),IF($O75=0,0,FLOOR(MAX(0,INDEX('A Loose'!$K$5:$K$104,MATCH($C75,'A Loose'!$A$5:$A$104,0)))/$O75,1))),0))</f>
        <v/>
      </c>
      <c r="K75" s="6" t="str">
        <f aca="false">IF($B75&lt;&gt;"C","",IFERROR(IF($E75="B",IF($D75=0,0,FLOOR(MAX(0,INDEX('B Made'!$I$5:$I$104,MATCH($C75,'B Made'!$A$5:$A$104,0)))/$D75,1)),IF($O75=0,0,FLOOR(MAX(0,INDEX('A Loose'!$K$5:$K$104,MATCH($C75,'A Loose'!$A$5:$A$104,0)))/$O75,1))),0))</f>
        <v/>
      </c>
      <c r="L75" s="6" t="str">
        <f aca="false">IF($B75&lt;&gt;"C","",$A75&amp;"|"&amp;$K75)</f>
        <v/>
      </c>
      <c r="M75" s="6" t="str">
        <f aca="false">IF($B75&lt;&gt;"B","",$A75&amp;"|"&amp;$I75)</f>
        <v/>
      </c>
      <c r="N75" s="6" t="str">
        <f aca="false">IF($C75="","",COUNTIFS(Recipes!$C$5:$C$104,$C75,Recipes!$B$5:$B$104,"C"))</f>
        <v/>
      </c>
      <c r="O75" s="6" t="str">
        <f aca="false">IF(OR($B75&lt;&gt;"C",$E75&lt;&gt;"A"),"",$D75+SUMPRODUCT((Recipes!$A$5:$A$104=$A75)*(Recipes!$B$5:$B$104="C")*(Recipes!$E$5:$E$104="B")*Recipes!$D$5:$D$104*SUMIFS(Recipes!$D$5:$D$104,Recipes!$A$5:$A$104,Recipes!$C$5:$C$104,Recipes!$B$5:$B$104,"B",Recipes!$C$5:$C$104,$C75)))</f>
        <v/>
      </c>
    </row>
    <row r="76" customFormat="false" ht="15" hidden="false" customHeight="false" outlineLevel="0" collapsed="false">
      <c r="A76" s="4"/>
      <c r="B76" s="4"/>
      <c r="C76" s="4"/>
      <c r="D76" s="4"/>
      <c r="E76" s="5" t="str">
        <f aca="false">IF($C76="","",IF(ISNUMBER(MATCH($C76,'A Loose'!$A$5:$A$104,0)),"A",IF(ISNUMBER(MATCH($C76,'B Made'!$A$5:$A$104,0)),"B","?? unknown code")))</f>
        <v/>
      </c>
      <c r="F76" s="5" t="str">
        <f aca="false">IF($C76="","",IFERROR(IF($E76="A",INDEX('A Loose'!$B$5:$B$104,MATCH($C76,'A Loose'!$A$5:$A$104,0)),IF($E76="B",INDEX('B Made'!$B$5:$B$104,MATCH($C76,'B Made'!$A$5:$A$104,0)),"")),""))</f>
        <v/>
      </c>
      <c r="G76" s="6" t="str">
        <f aca="false">IF($A76="","",IF($B76="B",IFERROR(INDEX('B Made'!$G$5:$G$104,MATCH($A76,'B Made'!$A$5:$A$104,0)),0),IF($B76="C",IFERROR(INDEX('C Kits'!$E$5:$E$104,MATCH($A76,'C Kits'!$A$5:$A$104,0)),0),0)))</f>
        <v/>
      </c>
      <c r="H76" s="5" t="str">
        <f aca="false">IF($A76="","",$D76*$G76)</f>
        <v/>
      </c>
      <c r="I76" s="6" t="str">
        <f aca="false">IF($B76&lt;&gt;"B","",IFERROR(IF($D76=0,0,FLOOR(MAX(0,INDEX('A Loose'!$K$5:$K$104,MATCH($C76,'A Loose'!$A$5:$A$104,0)))/$D76,1)),0))</f>
        <v/>
      </c>
      <c r="J76" s="6" t="str">
        <f aca="false">IF($B76&lt;&gt;"C","",IFERROR(IF($E76="B",IF($D76=0,0,FLOOR(MAX(0,INDEX('B Made'!$F$5:$F$104,MATCH($C76,'B Made'!$A$5:$A$104,0)))/$D76,1)),IF($O76=0,0,FLOOR(MAX(0,INDEX('A Loose'!$K$5:$K$104,MATCH($C76,'A Loose'!$A$5:$A$104,0)))/$O76,1))),0))</f>
        <v/>
      </c>
      <c r="K76" s="6" t="str">
        <f aca="false">IF($B76&lt;&gt;"C","",IFERROR(IF($E76="B",IF($D76=0,0,FLOOR(MAX(0,INDEX('B Made'!$I$5:$I$104,MATCH($C76,'B Made'!$A$5:$A$104,0)))/$D76,1)),IF($O76=0,0,FLOOR(MAX(0,INDEX('A Loose'!$K$5:$K$104,MATCH($C76,'A Loose'!$A$5:$A$104,0)))/$O76,1))),0))</f>
        <v/>
      </c>
      <c r="L76" s="6" t="str">
        <f aca="false">IF($B76&lt;&gt;"C","",$A76&amp;"|"&amp;$K76)</f>
        <v/>
      </c>
      <c r="M76" s="6" t="str">
        <f aca="false">IF($B76&lt;&gt;"B","",$A76&amp;"|"&amp;$I76)</f>
        <v/>
      </c>
      <c r="N76" s="6" t="str">
        <f aca="false">IF($C76="","",COUNTIFS(Recipes!$C$5:$C$104,$C76,Recipes!$B$5:$B$104,"C"))</f>
        <v/>
      </c>
      <c r="O76" s="6" t="str">
        <f aca="false">IF(OR($B76&lt;&gt;"C",$E76&lt;&gt;"A"),"",$D76+SUMPRODUCT((Recipes!$A$5:$A$104=$A76)*(Recipes!$B$5:$B$104="C")*(Recipes!$E$5:$E$104="B")*Recipes!$D$5:$D$104*SUMIFS(Recipes!$D$5:$D$104,Recipes!$A$5:$A$104,Recipes!$C$5:$C$104,Recipes!$B$5:$B$104,"B",Recipes!$C$5:$C$104,$C76)))</f>
        <v/>
      </c>
    </row>
    <row r="77" customFormat="false" ht="15" hidden="false" customHeight="false" outlineLevel="0" collapsed="false">
      <c r="A77" s="4"/>
      <c r="B77" s="4"/>
      <c r="C77" s="4"/>
      <c r="D77" s="4"/>
      <c r="E77" s="5" t="str">
        <f aca="false">IF($C77="","",IF(ISNUMBER(MATCH($C77,'A Loose'!$A$5:$A$104,0)),"A",IF(ISNUMBER(MATCH($C77,'B Made'!$A$5:$A$104,0)),"B","?? unknown code")))</f>
        <v/>
      </c>
      <c r="F77" s="5" t="str">
        <f aca="false">IF($C77="","",IFERROR(IF($E77="A",INDEX('A Loose'!$B$5:$B$104,MATCH($C77,'A Loose'!$A$5:$A$104,0)),IF($E77="B",INDEX('B Made'!$B$5:$B$104,MATCH($C77,'B Made'!$A$5:$A$104,0)),"")),""))</f>
        <v/>
      </c>
      <c r="G77" s="6" t="str">
        <f aca="false">IF($A77="","",IF($B77="B",IFERROR(INDEX('B Made'!$G$5:$G$104,MATCH($A77,'B Made'!$A$5:$A$104,0)),0),IF($B77="C",IFERROR(INDEX('C Kits'!$E$5:$E$104,MATCH($A77,'C Kits'!$A$5:$A$104,0)),0),0)))</f>
        <v/>
      </c>
      <c r="H77" s="5" t="str">
        <f aca="false">IF($A77="","",$D77*$G77)</f>
        <v/>
      </c>
      <c r="I77" s="6" t="str">
        <f aca="false">IF($B77&lt;&gt;"B","",IFERROR(IF($D77=0,0,FLOOR(MAX(0,INDEX('A Loose'!$K$5:$K$104,MATCH($C77,'A Loose'!$A$5:$A$104,0)))/$D77,1)),0))</f>
        <v/>
      </c>
      <c r="J77" s="6" t="str">
        <f aca="false">IF($B77&lt;&gt;"C","",IFERROR(IF($E77="B",IF($D77=0,0,FLOOR(MAX(0,INDEX('B Made'!$F$5:$F$104,MATCH($C77,'B Made'!$A$5:$A$104,0)))/$D77,1)),IF($O77=0,0,FLOOR(MAX(0,INDEX('A Loose'!$K$5:$K$104,MATCH($C77,'A Loose'!$A$5:$A$104,0)))/$O77,1))),0))</f>
        <v/>
      </c>
      <c r="K77" s="6" t="str">
        <f aca="false">IF($B77&lt;&gt;"C","",IFERROR(IF($E77="B",IF($D77=0,0,FLOOR(MAX(0,INDEX('B Made'!$I$5:$I$104,MATCH($C77,'B Made'!$A$5:$A$104,0)))/$D77,1)),IF($O77=0,0,FLOOR(MAX(0,INDEX('A Loose'!$K$5:$K$104,MATCH($C77,'A Loose'!$A$5:$A$104,0)))/$O77,1))),0))</f>
        <v/>
      </c>
      <c r="L77" s="6" t="str">
        <f aca="false">IF($B77&lt;&gt;"C","",$A77&amp;"|"&amp;$K77)</f>
        <v/>
      </c>
      <c r="M77" s="6" t="str">
        <f aca="false">IF($B77&lt;&gt;"B","",$A77&amp;"|"&amp;$I77)</f>
        <v/>
      </c>
      <c r="N77" s="6" t="str">
        <f aca="false">IF($C77="","",COUNTIFS(Recipes!$C$5:$C$104,$C77,Recipes!$B$5:$B$104,"C"))</f>
        <v/>
      </c>
      <c r="O77" s="6" t="str">
        <f aca="false">IF(OR($B77&lt;&gt;"C",$E77&lt;&gt;"A"),"",$D77+SUMPRODUCT((Recipes!$A$5:$A$104=$A77)*(Recipes!$B$5:$B$104="C")*(Recipes!$E$5:$E$104="B")*Recipes!$D$5:$D$104*SUMIFS(Recipes!$D$5:$D$104,Recipes!$A$5:$A$104,Recipes!$C$5:$C$104,Recipes!$B$5:$B$104,"B",Recipes!$C$5:$C$104,$C77)))</f>
        <v/>
      </c>
    </row>
    <row r="78" customFormat="false" ht="15" hidden="false" customHeight="false" outlineLevel="0" collapsed="false">
      <c r="A78" s="4"/>
      <c r="B78" s="4"/>
      <c r="C78" s="4"/>
      <c r="D78" s="4"/>
      <c r="E78" s="5" t="str">
        <f aca="false">IF($C78="","",IF(ISNUMBER(MATCH($C78,'A Loose'!$A$5:$A$104,0)),"A",IF(ISNUMBER(MATCH($C78,'B Made'!$A$5:$A$104,0)),"B","?? unknown code")))</f>
        <v/>
      </c>
      <c r="F78" s="5" t="str">
        <f aca="false">IF($C78="","",IFERROR(IF($E78="A",INDEX('A Loose'!$B$5:$B$104,MATCH($C78,'A Loose'!$A$5:$A$104,0)),IF($E78="B",INDEX('B Made'!$B$5:$B$104,MATCH($C78,'B Made'!$A$5:$A$104,0)),"")),""))</f>
        <v/>
      </c>
      <c r="G78" s="6" t="str">
        <f aca="false">IF($A78="","",IF($B78="B",IFERROR(INDEX('B Made'!$G$5:$G$104,MATCH($A78,'B Made'!$A$5:$A$104,0)),0),IF($B78="C",IFERROR(INDEX('C Kits'!$E$5:$E$104,MATCH($A78,'C Kits'!$A$5:$A$104,0)),0),0)))</f>
        <v/>
      </c>
      <c r="H78" s="5" t="str">
        <f aca="false">IF($A78="","",$D78*$G78)</f>
        <v/>
      </c>
      <c r="I78" s="6" t="str">
        <f aca="false">IF($B78&lt;&gt;"B","",IFERROR(IF($D78=0,0,FLOOR(MAX(0,INDEX('A Loose'!$K$5:$K$104,MATCH($C78,'A Loose'!$A$5:$A$104,0)))/$D78,1)),0))</f>
        <v/>
      </c>
      <c r="J78" s="6" t="str">
        <f aca="false">IF($B78&lt;&gt;"C","",IFERROR(IF($E78="B",IF($D78=0,0,FLOOR(MAX(0,INDEX('B Made'!$F$5:$F$104,MATCH($C78,'B Made'!$A$5:$A$104,0)))/$D78,1)),IF($O78=0,0,FLOOR(MAX(0,INDEX('A Loose'!$K$5:$K$104,MATCH($C78,'A Loose'!$A$5:$A$104,0)))/$O78,1))),0))</f>
        <v/>
      </c>
      <c r="K78" s="6" t="str">
        <f aca="false">IF($B78&lt;&gt;"C","",IFERROR(IF($E78="B",IF($D78=0,0,FLOOR(MAX(0,INDEX('B Made'!$I$5:$I$104,MATCH($C78,'B Made'!$A$5:$A$104,0)))/$D78,1)),IF($O78=0,0,FLOOR(MAX(0,INDEX('A Loose'!$K$5:$K$104,MATCH($C78,'A Loose'!$A$5:$A$104,0)))/$O78,1))),0))</f>
        <v/>
      </c>
      <c r="L78" s="6" t="str">
        <f aca="false">IF($B78&lt;&gt;"C","",$A78&amp;"|"&amp;$K78)</f>
        <v/>
      </c>
      <c r="M78" s="6" t="str">
        <f aca="false">IF($B78&lt;&gt;"B","",$A78&amp;"|"&amp;$I78)</f>
        <v/>
      </c>
      <c r="N78" s="6" t="str">
        <f aca="false">IF($C78="","",COUNTIFS(Recipes!$C$5:$C$104,$C78,Recipes!$B$5:$B$104,"C"))</f>
        <v/>
      </c>
      <c r="O78" s="6" t="str">
        <f aca="false">IF(OR($B78&lt;&gt;"C",$E78&lt;&gt;"A"),"",$D78+SUMPRODUCT((Recipes!$A$5:$A$104=$A78)*(Recipes!$B$5:$B$104="C")*(Recipes!$E$5:$E$104="B")*Recipes!$D$5:$D$104*SUMIFS(Recipes!$D$5:$D$104,Recipes!$A$5:$A$104,Recipes!$C$5:$C$104,Recipes!$B$5:$B$104,"B",Recipes!$C$5:$C$104,$C78)))</f>
        <v/>
      </c>
    </row>
    <row r="79" customFormat="false" ht="15" hidden="false" customHeight="false" outlineLevel="0" collapsed="false">
      <c r="A79" s="4"/>
      <c r="B79" s="4"/>
      <c r="C79" s="4"/>
      <c r="D79" s="4"/>
      <c r="E79" s="5" t="str">
        <f aca="false">IF($C79="","",IF(ISNUMBER(MATCH($C79,'A Loose'!$A$5:$A$104,0)),"A",IF(ISNUMBER(MATCH($C79,'B Made'!$A$5:$A$104,0)),"B","?? unknown code")))</f>
        <v/>
      </c>
      <c r="F79" s="5" t="str">
        <f aca="false">IF($C79="","",IFERROR(IF($E79="A",INDEX('A Loose'!$B$5:$B$104,MATCH($C79,'A Loose'!$A$5:$A$104,0)),IF($E79="B",INDEX('B Made'!$B$5:$B$104,MATCH($C79,'B Made'!$A$5:$A$104,0)),"")),""))</f>
        <v/>
      </c>
      <c r="G79" s="6" t="str">
        <f aca="false">IF($A79="","",IF($B79="B",IFERROR(INDEX('B Made'!$G$5:$G$104,MATCH($A79,'B Made'!$A$5:$A$104,0)),0),IF($B79="C",IFERROR(INDEX('C Kits'!$E$5:$E$104,MATCH($A79,'C Kits'!$A$5:$A$104,0)),0),0)))</f>
        <v/>
      </c>
      <c r="H79" s="5" t="str">
        <f aca="false">IF($A79="","",$D79*$G79)</f>
        <v/>
      </c>
      <c r="I79" s="6" t="str">
        <f aca="false">IF($B79&lt;&gt;"B","",IFERROR(IF($D79=0,0,FLOOR(MAX(0,INDEX('A Loose'!$K$5:$K$104,MATCH($C79,'A Loose'!$A$5:$A$104,0)))/$D79,1)),0))</f>
        <v/>
      </c>
      <c r="J79" s="6" t="str">
        <f aca="false">IF($B79&lt;&gt;"C","",IFERROR(IF($E79="B",IF($D79=0,0,FLOOR(MAX(0,INDEX('B Made'!$F$5:$F$104,MATCH($C79,'B Made'!$A$5:$A$104,0)))/$D79,1)),IF($O79=0,0,FLOOR(MAX(0,INDEX('A Loose'!$K$5:$K$104,MATCH($C79,'A Loose'!$A$5:$A$104,0)))/$O79,1))),0))</f>
        <v/>
      </c>
      <c r="K79" s="6" t="str">
        <f aca="false">IF($B79&lt;&gt;"C","",IFERROR(IF($E79="B",IF($D79=0,0,FLOOR(MAX(0,INDEX('B Made'!$I$5:$I$104,MATCH($C79,'B Made'!$A$5:$A$104,0)))/$D79,1)),IF($O79=0,0,FLOOR(MAX(0,INDEX('A Loose'!$K$5:$K$104,MATCH($C79,'A Loose'!$A$5:$A$104,0)))/$O79,1))),0))</f>
        <v/>
      </c>
      <c r="L79" s="6" t="str">
        <f aca="false">IF($B79&lt;&gt;"C","",$A79&amp;"|"&amp;$K79)</f>
        <v/>
      </c>
      <c r="M79" s="6" t="str">
        <f aca="false">IF($B79&lt;&gt;"B","",$A79&amp;"|"&amp;$I79)</f>
        <v/>
      </c>
      <c r="N79" s="6" t="str">
        <f aca="false">IF($C79="","",COUNTIFS(Recipes!$C$5:$C$104,$C79,Recipes!$B$5:$B$104,"C"))</f>
        <v/>
      </c>
      <c r="O79" s="6" t="str">
        <f aca="false">IF(OR($B79&lt;&gt;"C",$E79&lt;&gt;"A"),"",$D79+SUMPRODUCT((Recipes!$A$5:$A$104=$A79)*(Recipes!$B$5:$B$104="C")*(Recipes!$E$5:$E$104="B")*Recipes!$D$5:$D$104*SUMIFS(Recipes!$D$5:$D$104,Recipes!$A$5:$A$104,Recipes!$C$5:$C$104,Recipes!$B$5:$B$104,"B",Recipes!$C$5:$C$104,$C79)))</f>
        <v/>
      </c>
    </row>
    <row r="80" customFormat="false" ht="15" hidden="false" customHeight="false" outlineLevel="0" collapsed="false">
      <c r="A80" s="4"/>
      <c r="B80" s="4"/>
      <c r="C80" s="4"/>
      <c r="D80" s="4"/>
      <c r="E80" s="5" t="str">
        <f aca="false">IF($C80="","",IF(ISNUMBER(MATCH($C80,'A Loose'!$A$5:$A$104,0)),"A",IF(ISNUMBER(MATCH($C80,'B Made'!$A$5:$A$104,0)),"B","?? unknown code")))</f>
        <v/>
      </c>
      <c r="F80" s="5" t="str">
        <f aca="false">IF($C80="","",IFERROR(IF($E80="A",INDEX('A Loose'!$B$5:$B$104,MATCH($C80,'A Loose'!$A$5:$A$104,0)),IF($E80="B",INDEX('B Made'!$B$5:$B$104,MATCH($C80,'B Made'!$A$5:$A$104,0)),"")),""))</f>
        <v/>
      </c>
      <c r="G80" s="6" t="str">
        <f aca="false">IF($A80="","",IF($B80="B",IFERROR(INDEX('B Made'!$G$5:$G$104,MATCH($A80,'B Made'!$A$5:$A$104,0)),0),IF($B80="C",IFERROR(INDEX('C Kits'!$E$5:$E$104,MATCH($A80,'C Kits'!$A$5:$A$104,0)),0),0)))</f>
        <v/>
      </c>
      <c r="H80" s="5" t="str">
        <f aca="false">IF($A80="","",$D80*$G80)</f>
        <v/>
      </c>
      <c r="I80" s="6" t="str">
        <f aca="false">IF($B80&lt;&gt;"B","",IFERROR(IF($D80=0,0,FLOOR(MAX(0,INDEX('A Loose'!$K$5:$K$104,MATCH($C80,'A Loose'!$A$5:$A$104,0)))/$D80,1)),0))</f>
        <v/>
      </c>
      <c r="J80" s="6" t="str">
        <f aca="false">IF($B80&lt;&gt;"C","",IFERROR(IF($E80="B",IF($D80=0,0,FLOOR(MAX(0,INDEX('B Made'!$F$5:$F$104,MATCH($C80,'B Made'!$A$5:$A$104,0)))/$D80,1)),IF($O80=0,0,FLOOR(MAX(0,INDEX('A Loose'!$K$5:$K$104,MATCH($C80,'A Loose'!$A$5:$A$104,0)))/$O80,1))),0))</f>
        <v/>
      </c>
      <c r="K80" s="6" t="str">
        <f aca="false">IF($B80&lt;&gt;"C","",IFERROR(IF($E80="B",IF($D80=0,0,FLOOR(MAX(0,INDEX('B Made'!$I$5:$I$104,MATCH($C80,'B Made'!$A$5:$A$104,0)))/$D80,1)),IF($O80=0,0,FLOOR(MAX(0,INDEX('A Loose'!$K$5:$K$104,MATCH($C80,'A Loose'!$A$5:$A$104,0)))/$O80,1))),0))</f>
        <v/>
      </c>
      <c r="L80" s="6" t="str">
        <f aca="false">IF($B80&lt;&gt;"C","",$A80&amp;"|"&amp;$K80)</f>
        <v/>
      </c>
      <c r="M80" s="6" t="str">
        <f aca="false">IF($B80&lt;&gt;"B","",$A80&amp;"|"&amp;$I80)</f>
        <v/>
      </c>
      <c r="N80" s="6" t="str">
        <f aca="false">IF($C80="","",COUNTIFS(Recipes!$C$5:$C$104,$C80,Recipes!$B$5:$B$104,"C"))</f>
        <v/>
      </c>
      <c r="O80" s="6" t="str">
        <f aca="false">IF(OR($B80&lt;&gt;"C",$E80&lt;&gt;"A"),"",$D80+SUMPRODUCT((Recipes!$A$5:$A$104=$A80)*(Recipes!$B$5:$B$104="C")*(Recipes!$E$5:$E$104="B")*Recipes!$D$5:$D$104*SUMIFS(Recipes!$D$5:$D$104,Recipes!$A$5:$A$104,Recipes!$C$5:$C$104,Recipes!$B$5:$B$104,"B",Recipes!$C$5:$C$104,$C80)))</f>
        <v/>
      </c>
    </row>
    <row r="81" customFormat="false" ht="15" hidden="false" customHeight="false" outlineLevel="0" collapsed="false">
      <c r="A81" s="4"/>
      <c r="B81" s="4"/>
      <c r="C81" s="4"/>
      <c r="D81" s="4"/>
      <c r="E81" s="5" t="str">
        <f aca="false">IF($C81="","",IF(ISNUMBER(MATCH($C81,'A Loose'!$A$5:$A$104,0)),"A",IF(ISNUMBER(MATCH($C81,'B Made'!$A$5:$A$104,0)),"B","?? unknown code")))</f>
        <v/>
      </c>
      <c r="F81" s="5" t="str">
        <f aca="false">IF($C81="","",IFERROR(IF($E81="A",INDEX('A Loose'!$B$5:$B$104,MATCH($C81,'A Loose'!$A$5:$A$104,0)),IF($E81="B",INDEX('B Made'!$B$5:$B$104,MATCH($C81,'B Made'!$A$5:$A$104,0)),"")),""))</f>
        <v/>
      </c>
      <c r="G81" s="6" t="str">
        <f aca="false">IF($A81="","",IF($B81="B",IFERROR(INDEX('B Made'!$G$5:$G$104,MATCH($A81,'B Made'!$A$5:$A$104,0)),0),IF($B81="C",IFERROR(INDEX('C Kits'!$E$5:$E$104,MATCH($A81,'C Kits'!$A$5:$A$104,0)),0),0)))</f>
        <v/>
      </c>
      <c r="H81" s="5" t="str">
        <f aca="false">IF($A81="","",$D81*$G81)</f>
        <v/>
      </c>
      <c r="I81" s="6" t="str">
        <f aca="false">IF($B81&lt;&gt;"B","",IFERROR(IF($D81=0,0,FLOOR(MAX(0,INDEX('A Loose'!$K$5:$K$104,MATCH($C81,'A Loose'!$A$5:$A$104,0)))/$D81,1)),0))</f>
        <v/>
      </c>
      <c r="J81" s="6" t="str">
        <f aca="false">IF($B81&lt;&gt;"C","",IFERROR(IF($E81="B",IF($D81=0,0,FLOOR(MAX(0,INDEX('B Made'!$F$5:$F$104,MATCH($C81,'B Made'!$A$5:$A$104,0)))/$D81,1)),IF($O81=0,0,FLOOR(MAX(0,INDEX('A Loose'!$K$5:$K$104,MATCH($C81,'A Loose'!$A$5:$A$104,0)))/$O81,1))),0))</f>
        <v/>
      </c>
      <c r="K81" s="6" t="str">
        <f aca="false">IF($B81&lt;&gt;"C","",IFERROR(IF($E81="B",IF($D81=0,0,FLOOR(MAX(0,INDEX('B Made'!$I$5:$I$104,MATCH($C81,'B Made'!$A$5:$A$104,0)))/$D81,1)),IF($O81=0,0,FLOOR(MAX(0,INDEX('A Loose'!$K$5:$K$104,MATCH($C81,'A Loose'!$A$5:$A$104,0)))/$O81,1))),0))</f>
        <v/>
      </c>
      <c r="L81" s="6" t="str">
        <f aca="false">IF($B81&lt;&gt;"C","",$A81&amp;"|"&amp;$K81)</f>
        <v/>
      </c>
      <c r="M81" s="6" t="str">
        <f aca="false">IF($B81&lt;&gt;"B","",$A81&amp;"|"&amp;$I81)</f>
        <v/>
      </c>
      <c r="N81" s="6" t="str">
        <f aca="false">IF($C81="","",COUNTIFS(Recipes!$C$5:$C$104,$C81,Recipes!$B$5:$B$104,"C"))</f>
        <v/>
      </c>
      <c r="O81" s="6" t="str">
        <f aca="false">IF(OR($B81&lt;&gt;"C",$E81&lt;&gt;"A"),"",$D81+SUMPRODUCT((Recipes!$A$5:$A$104=$A81)*(Recipes!$B$5:$B$104="C")*(Recipes!$E$5:$E$104="B")*Recipes!$D$5:$D$104*SUMIFS(Recipes!$D$5:$D$104,Recipes!$A$5:$A$104,Recipes!$C$5:$C$104,Recipes!$B$5:$B$104,"B",Recipes!$C$5:$C$104,$C81)))</f>
        <v/>
      </c>
    </row>
    <row r="82" customFormat="false" ht="15" hidden="false" customHeight="false" outlineLevel="0" collapsed="false">
      <c r="A82" s="4"/>
      <c r="B82" s="4"/>
      <c r="C82" s="4"/>
      <c r="D82" s="4"/>
      <c r="E82" s="5" t="str">
        <f aca="false">IF($C82="","",IF(ISNUMBER(MATCH($C82,'A Loose'!$A$5:$A$104,0)),"A",IF(ISNUMBER(MATCH($C82,'B Made'!$A$5:$A$104,0)),"B","?? unknown code")))</f>
        <v/>
      </c>
      <c r="F82" s="5" t="str">
        <f aca="false">IF($C82="","",IFERROR(IF($E82="A",INDEX('A Loose'!$B$5:$B$104,MATCH($C82,'A Loose'!$A$5:$A$104,0)),IF($E82="B",INDEX('B Made'!$B$5:$B$104,MATCH($C82,'B Made'!$A$5:$A$104,0)),"")),""))</f>
        <v/>
      </c>
      <c r="G82" s="6" t="str">
        <f aca="false">IF($A82="","",IF($B82="B",IFERROR(INDEX('B Made'!$G$5:$G$104,MATCH($A82,'B Made'!$A$5:$A$104,0)),0),IF($B82="C",IFERROR(INDEX('C Kits'!$E$5:$E$104,MATCH($A82,'C Kits'!$A$5:$A$104,0)),0),0)))</f>
        <v/>
      </c>
      <c r="H82" s="5" t="str">
        <f aca="false">IF($A82="","",$D82*$G82)</f>
        <v/>
      </c>
      <c r="I82" s="6" t="str">
        <f aca="false">IF($B82&lt;&gt;"B","",IFERROR(IF($D82=0,0,FLOOR(MAX(0,INDEX('A Loose'!$K$5:$K$104,MATCH($C82,'A Loose'!$A$5:$A$104,0)))/$D82,1)),0))</f>
        <v/>
      </c>
      <c r="J82" s="6" t="str">
        <f aca="false">IF($B82&lt;&gt;"C","",IFERROR(IF($E82="B",IF($D82=0,0,FLOOR(MAX(0,INDEX('B Made'!$F$5:$F$104,MATCH($C82,'B Made'!$A$5:$A$104,0)))/$D82,1)),IF($O82=0,0,FLOOR(MAX(0,INDEX('A Loose'!$K$5:$K$104,MATCH($C82,'A Loose'!$A$5:$A$104,0)))/$O82,1))),0))</f>
        <v/>
      </c>
      <c r="K82" s="6" t="str">
        <f aca="false">IF($B82&lt;&gt;"C","",IFERROR(IF($E82="B",IF($D82=0,0,FLOOR(MAX(0,INDEX('B Made'!$I$5:$I$104,MATCH($C82,'B Made'!$A$5:$A$104,0)))/$D82,1)),IF($O82=0,0,FLOOR(MAX(0,INDEX('A Loose'!$K$5:$K$104,MATCH($C82,'A Loose'!$A$5:$A$104,0)))/$O82,1))),0))</f>
        <v/>
      </c>
      <c r="L82" s="6" t="str">
        <f aca="false">IF($B82&lt;&gt;"C","",$A82&amp;"|"&amp;$K82)</f>
        <v/>
      </c>
      <c r="M82" s="6" t="str">
        <f aca="false">IF($B82&lt;&gt;"B","",$A82&amp;"|"&amp;$I82)</f>
        <v/>
      </c>
      <c r="N82" s="6" t="str">
        <f aca="false">IF($C82="","",COUNTIFS(Recipes!$C$5:$C$104,$C82,Recipes!$B$5:$B$104,"C"))</f>
        <v/>
      </c>
      <c r="O82" s="6" t="str">
        <f aca="false">IF(OR($B82&lt;&gt;"C",$E82&lt;&gt;"A"),"",$D82+SUMPRODUCT((Recipes!$A$5:$A$104=$A82)*(Recipes!$B$5:$B$104="C")*(Recipes!$E$5:$E$104="B")*Recipes!$D$5:$D$104*SUMIFS(Recipes!$D$5:$D$104,Recipes!$A$5:$A$104,Recipes!$C$5:$C$104,Recipes!$B$5:$B$104,"B",Recipes!$C$5:$C$104,$C82)))</f>
        <v/>
      </c>
    </row>
    <row r="83" customFormat="false" ht="15" hidden="false" customHeight="false" outlineLevel="0" collapsed="false">
      <c r="A83" s="4"/>
      <c r="B83" s="4"/>
      <c r="C83" s="4"/>
      <c r="D83" s="4"/>
      <c r="E83" s="5" t="str">
        <f aca="false">IF($C83="","",IF(ISNUMBER(MATCH($C83,'A Loose'!$A$5:$A$104,0)),"A",IF(ISNUMBER(MATCH($C83,'B Made'!$A$5:$A$104,0)),"B","?? unknown code")))</f>
        <v/>
      </c>
      <c r="F83" s="5" t="str">
        <f aca="false">IF($C83="","",IFERROR(IF($E83="A",INDEX('A Loose'!$B$5:$B$104,MATCH($C83,'A Loose'!$A$5:$A$104,0)),IF($E83="B",INDEX('B Made'!$B$5:$B$104,MATCH($C83,'B Made'!$A$5:$A$104,0)),"")),""))</f>
        <v/>
      </c>
      <c r="G83" s="6" t="str">
        <f aca="false">IF($A83="","",IF($B83="B",IFERROR(INDEX('B Made'!$G$5:$G$104,MATCH($A83,'B Made'!$A$5:$A$104,0)),0),IF($B83="C",IFERROR(INDEX('C Kits'!$E$5:$E$104,MATCH($A83,'C Kits'!$A$5:$A$104,0)),0),0)))</f>
        <v/>
      </c>
      <c r="H83" s="5" t="str">
        <f aca="false">IF($A83="","",$D83*$G83)</f>
        <v/>
      </c>
      <c r="I83" s="6" t="str">
        <f aca="false">IF($B83&lt;&gt;"B","",IFERROR(IF($D83=0,0,FLOOR(MAX(0,INDEX('A Loose'!$K$5:$K$104,MATCH($C83,'A Loose'!$A$5:$A$104,0)))/$D83,1)),0))</f>
        <v/>
      </c>
      <c r="J83" s="6" t="str">
        <f aca="false">IF($B83&lt;&gt;"C","",IFERROR(IF($E83="B",IF($D83=0,0,FLOOR(MAX(0,INDEX('B Made'!$F$5:$F$104,MATCH($C83,'B Made'!$A$5:$A$104,0)))/$D83,1)),IF($O83=0,0,FLOOR(MAX(0,INDEX('A Loose'!$K$5:$K$104,MATCH($C83,'A Loose'!$A$5:$A$104,0)))/$O83,1))),0))</f>
        <v/>
      </c>
      <c r="K83" s="6" t="str">
        <f aca="false">IF($B83&lt;&gt;"C","",IFERROR(IF($E83="B",IF($D83=0,0,FLOOR(MAX(0,INDEX('B Made'!$I$5:$I$104,MATCH($C83,'B Made'!$A$5:$A$104,0)))/$D83,1)),IF($O83=0,0,FLOOR(MAX(0,INDEX('A Loose'!$K$5:$K$104,MATCH($C83,'A Loose'!$A$5:$A$104,0)))/$O83,1))),0))</f>
        <v/>
      </c>
      <c r="L83" s="6" t="str">
        <f aca="false">IF($B83&lt;&gt;"C","",$A83&amp;"|"&amp;$K83)</f>
        <v/>
      </c>
      <c r="M83" s="6" t="str">
        <f aca="false">IF($B83&lt;&gt;"B","",$A83&amp;"|"&amp;$I83)</f>
        <v/>
      </c>
      <c r="N83" s="6" t="str">
        <f aca="false">IF($C83="","",COUNTIFS(Recipes!$C$5:$C$104,$C83,Recipes!$B$5:$B$104,"C"))</f>
        <v/>
      </c>
      <c r="O83" s="6" t="str">
        <f aca="false">IF(OR($B83&lt;&gt;"C",$E83&lt;&gt;"A"),"",$D83+SUMPRODUCT((Recipes!$A$5:$A$104=$A83)*(Recipes!$B$5:$B$104="C")*(Recipes!$E$5:$E$104="B")*Recipes!$D$5:$D$104*SUMIFS(Recipes!$D$5:$D$104,Recipes!$A$5:$A$104,Recipes!$C$5:$C$104,Recipes!$B$5:$B$104,"B",Recipes!$C$5:$C$104,$C83)))</f>
        <v/>
      </c>
    </row>
    <row r="84" customFormat="false" ht="15" hidden="false" customHeight="false" outlineLevel="0" collapsed="false">
      <c r="A84" s="4"/>
      <c r="B84" s="4"/>
      <c r="C84" s="4"/>
      <c r="D84" s="4"/>
      <c r="E84" s="5" t="str">
        <f aca="false">IF($C84="","",IF(ISNUMBER(MATCH($C84,'A Loose'!$A$5:$A$104,0)),"A",IF(ISNUMBER(MATCH($C84,'B Made'!$A$5:$A$104,0)),"B","?? unknown code")))</f>
        <v/>
      </c>
      <c r="F84" s="5" t="str">
        <f aca="false">IF($C84="","",IFERROR(IF($E84="A",INDEX('A Loose'!$B$5:$B$104,MATCH($C84,'A Loose'!$A$5:$A$104,0)),IF($E84="B",INDEX('B Made'!$B$5:$B$104,MATCH($C84,'B Made'!$A$5:$A$104,0)),"")),""))</f>
        <v/>
      </c>
      <c r="G84" s="6" t="str">
        <f aca="false">IF($A84="","",IF($B84="B",IFERROR(INDEX('B Made'!$G$5:$G$104,MATCH($A84,'B Made'!$A$5:$A$104,0)),0),IF($B84="C",IFERROR(INDEX('C Kits'!$E$5:$E$104,MATCH($A84,'C Kits'!$A$5:$A$104,0)),0),0)))</f>
        <v/>
      </c>
      <c r="H84" s="5" t="str">
        <f aca="false">IF($A84="","",$D84*$G84)</f>
        <v/>
      </c>
      <c r="I84" s="6" t="str">
        <f aca="false">IF($B84&lt;&gt;"B","",IFERROR(IF($D84=0,0,FLOOR(MAX(0,INDEX('A Loose'!$K$5:$K$104,MATCH($C84,'A Loose'!$A$5:$A$104,0)))/$D84,1)),0))</f>
        <v/>
      </c>
      <c r="J84" s="6" t="str">
        <f aca="false">IF($B84&lt;&gt;"C","",IFERROR(IF($E84="B",IF($D84=0,0,FLOOR(MAX(0,INDEX('B Made'!$F$5:$F$104,MATCH($C84,'B Made'!$A$5:$A$104,0)))/$D84,1)),IF($O84=0,0,FLOOR(MAX(0,INDEX('A Loose'!$K$5:$K$104,MATCH($C84,'A Loose'!$A$5:$A$104,0)))/$O84,1))),0))</f>
        <v/>
      </c>
      <c r="K84" s="6" t="str">
        <f aca="false">IF($B84&lt;&gt;"C","",IFERROR(IF($E84="B",IF($D84=0,0,FLOOR(MAX(0,INDEX('B Made'!$I$5:$I$104,MATCH($C84,'B Made'!$A$5:$A$104,0)))/$D84,1)),IF($O84=0,0,FLOOR(MAX(0,INDEX('A Loose'!$K$5:$K$104,MATCH($C84,'A Loose'!$A$5:$A$104,0)))/$O84,1))),0))</f>
        <v/>
      </c>
      <c r="L84" s="6" t="str">
        <f aca="false">IF($B84&lt;&gt;"C","",$A84&amp;"|"&amp;$K84)</f>
        <v/>
      </c>
      <c r="M84" s="6" t="str">
        <f aca="false">IF($B84&lt;&gt;"B","",$A84&amp;"|"&amp;$I84)</f>
        <v/>
      </c>
      <c r="N84" s="6" t="str">
        <f aca="false">IF($C84="","",COUNTIFS(Recipes!$C$5:$C$104,$C84,Recipes!$B$5:$B$104,"C"))</f>
        <v/>
      </c>
      <c r="O84" s="6" t="str">
        <f aca="false">IF(OR($B84&lt;&gt;"C",$E84&lt;&gt;"A"),"",$D84+SUMPRODUCT((Recipes!$A$5:$A$104=$A84)*(Recipes!$B$5:$B$104="C")*(Recipes!$E$5:$E$104="B")*Recipes!$D$5:$D$104*SUMIFS(Recipes!$D$5:$D$104,Recipes!$A$5:$A$104,Recipes!$C$5:$C$104,Recipes!$B$5:$B$104,"B",Recipes!$C$5:$C$104,$C84)))</f>
        <v/>
      </c>
    </row>
    <row r="85" customFormat="false" ht="15" hidden="false" customHeight="false" outlineLevel="0" collapsed="false">
      <c r="A85" s="4"/>
      <c r="B85" s="4"/>
      <c r="C85" s="4"/>
      <c r="D85" s="4"/>
      <c r="E85" s="5" t="str">
        <f aca="false">IF($C85="","",IF(ISNUMBER(MATCH($C85,'A Loose'!$A$5:$A$104,0)),"A",IF(ISNUMBER(MATCH($C85,'B Made'!$A$5:$A$104,0)),"B","?? unknown code")))</f>
        <v/>
      </c>
      <c r="F85" s="5" t="str">
        <f aca="false">IF($C85="","",IFERROR(IF($E85="A",INDEX('A Loose'!$B$5:$B$104,MATCH($C85,'A Loose'!$A$5:$A$104,0)),IF($E85="B",INDEX('B Made'!$B$5:$B$104,MATCH($C85,'B Made'!$A$5:$A$104,0)),"")),""))</f>
        <v/>
      </c>
      <c r="G85" s="6" t="str">
        <f aca="false">IF($A85="","",IF($B85="B",IFERROR(INDEX('B Made'!$G$5:$G$104,MATCH($A85,'B Made'!$A$5:$A$104,0)),0),IF($B85="C",IFERROR(INDEX('C Kits'!$E$5:$E$104,MATCH($A85,'C Kits'!$A$5:$A$104,0)),0),0)))</f>
        <v/>
      </c>
      <c r="H85" s="5" t="str">
        <f aca="false">IF($A85="","",$D85*$G85)</f>
        <v/>
      </c>
      <c r="I85" s="6" t="str">
        <f aca="false">IF($B85&lt;&gt;"B","",IFERROR(IF($D85=0,0,FLOOR(MAX(0,INDEX('A Loose'!$K$5:$K$104,MATCH($C85,'A Loose'!$A$5:$A$104,0)))/$D85,1)),0))</f>
        <v/>
      </c>
      <c r="J85" s="6" t="str">
        <f aca="false">IF($B85&lt;&gt;"C","",IFERROR(IF($E85="B",IF($D85=0,0,FLOOR(MAX(0,INDEX('B Made'!$F$5:$F$104,MATCH($C85,'B Made'!$A$5:$A$104,0)))/$D85,1)),IF($O85=0,0,FLOOR(MAX(0,INDEX('A Loose'!$K$5:$K$104,MATCH($C85,'A Loose'!$A$5:$A$104,0)))/$O85,1))),0))</f>
        <v/>
      </c>
      <c r="K85" s="6" t="str">
        <f aca="false">IF($B85&lt;&gt;"C","",IFERROR(IF($E85="B",IF($D85=0,0,FLOOR(MAX(0,INDEX('B Made'!$I$5:$I$104,MATCH($C85,'B Made'!$A$5:$A$104,0)))/$D85,1)),IF($O85=0,0,FLOOR(MAX(0,INDEX('A Loose'!$K$5:$K$104,MATCH($C85,'A Loose'!$A$5:$A$104,0)))/$O85,1))),0))</f>
        <v/>
      </c>
      <c r="L85" s="6" t="str">
        <f aca="false">IF($B85&lt;&gt;"C","",$A85&amp;"|"&amp;$K85)</f>
        <v/>
      </c>
      <c r="M85" s="6" t="str">
        <f aca="false">IF($B85&lt;&gt;"B","",$A85&amp;"|"&amp;$I85)</f>
        <v/>
      </c>
      <c r="N85" s="6" t="str">
        <f aca="false">IF($C85="","",COUNTIFS(Recipes!$C$5:$C$104,$C85,Recipes!$B$5:$B$104,"C"))</f>
        <v/>
      </c>
      <c r="O85" s="6" t="str">
        <f aca="false">IF(OR($B85&lt;&gt;"C",$E85&lt;&gt;"A"),"",$D85+SUMPRODUCT((Recipes!$A$5:$A$104=$A85)*(Recipes!$B$5:$B$104="C")*(Recipes!$E$5:$E$104="B")*Recipes!$D$5:$D$104*SUMIFS(Recipes!$D$5:$D$104,Recipes!$A$5:$A$104,Recipes!$C$5:$C$104,Recipes!$B$5:$B$104,"B",Recipes!$C$5:$C$104,$C85)))</f>
        <v/>
      </c>
    </row>
    <row r="86" customFormat="false" ht="15" hidden="false" customHeight="false" outlineLevel="0" collapsed="false">
      <c r="A86" s="4"/>
      <c r="B86" s="4"/>
      <c r="C86" s="4"/>
      <c r="D86" s="4"/>
      <c r="E86" s="5" t="str">
        <f aca="false">IF($C86="","",IF(ISNUMBER(MATCH($C86,'A Loose'!$A$5:$A$104,0)),"A",IF(ISNUMBER(MATCH($C86,'B Made'!$A$5:$A$104,0)),"B","?? unknown code")))</f>
        <v/>
      </c>
      <c r="F86" s="5" t="str">
        <f aca="false">IF($C86="","",IFERROR(IF($E86="A",INDEX('A Loose'!$B$5:$B$104,MATCH($C86,'A Loose'!$A$5:$A$104,0)),IF($E86="B",INDEX('B Made'!$B$5:$B$104,MATCH($C86,'B Made'!$A$5:$A$104,0)),"")),""))</f>
        <v/>
      </c>
      <c r="G86" s="6" t="str">
        <f aca="false">IF($A86="","",IF($B86="B",IFERROR(INDEX('B Made'!$G$5:$G$104,MATCH($A86,'B Made'!$A$5:$A$104,0)),0),IF($B86="C",IFERROR(INDEX('C Kits'!$E$5:$E$104,MATCH($A86,'C Kits'!$A$5:$A$104,0)),0),0)))</f>
        <v/>
      </c>
      <c r="H86" s="5" t="str">
        <f aca="false">IF($A86="","",$D86*$G86)</f>
        <v/>
      </c>
      <c r="I86" s="6" t="str">
        <f aca="false">IF($B86&lt;&gt;"B","",IFERROR(IF($D86=0,0,FLOOR(MAX(0,INDEX('A Loose'!$K$5:$K$104,MATCH($C86,'A Loose'!$A$5:$A$104,0)))/$D86,1)),0))</f>
        <v/>
      </c>
      <c r="J86" s="6" t="str">
        <f aca="false">IF($B86&lt;&gt;"C","",IFERROR(IF($E86="B",IF($D86=0,0,FLOOR(MAX(0,INDEX('B Made'!$F$5:$F$104,MATCH($C86,'B Made'!$A$5:$A$104,0)))/$D86,1)),IF($O86=0,0,FLOOR(MAX(0,INDEX('A Loose'!$K$5:$K$104,MATCH($C86,'A Loose'!$A$5:$A$104,0)))/$O86,1))),0))</f>
        <v/>
      </c>
      <c r="K86" s="6" t="str">
        <f aca="false">IF($B86&lt;&gt;"C","",IFERROR(IF($E86="B",IF($D86=0,0,FLOOR(MAX(0,INDEX('B Made'!$I$5:$I$104,MATCH($C86,'B Made'!$A$5:$A$104,0)))/$D86,1)),IF($O86=0,0,FLOOR(MAX(0,INDEX('A Loose'!$K$5:$K$104,MATCH($C86,'A Loose'!$A$5:$A$104,0)))/$O86,1))),0))</f>
        <v/>
      </c>
      <c r="L86" s="6" t="str">
        <f aca="false">IF($B86&lt;&gt;"C","",$A86&amp;"|"&amp;$K86)</f>
        <v/>
      </c>
      <c r="M86" s="6" t="str">
        <f aca="false">IF($B86&lt;&gt;"B","",$A86&amp;"|"&amp;$I86)</f>
        <v/>
      </c>
      <c r="N86" s="6" t="str">
        <f aca="false">IF($C86="","",COUNTIFS(Recipes!$C$5:$C$104,$C86,Recipes!$B$5:$B$104,"C"))</f>
        <v/>
      </c>
      <c r="O86" s="6" t="str">
        <f aca="false">IF(OR($B86&lt;&gt;"C",$E86&lt;&gt;"A"),"",$D86+SUMPRODUCT((Recipes!$A$5:$A$104=$A86)*(Recipes!$B$5:$B$104="C")*(Recipes!$E$5:$E$104="B")*Recipes!$D$5:$D$104*SUMIFS(Recipes!$D$5:$D$104,Recipes!$A$5:$A$104,Recipes!$C$5:$C$104,Recipes!$B$5:$B$104,"B",Recipes!$C$5:$C$104,$C86)))</f>
        <v/>
      </c>
    </row>
    <row r="87" customFormat="false" ht="15" hidden="false" customHeight="false" outlineLevel="0" collapsed="false">
      <c r="A87" s="4"/>
      <c r="B87" s="4"/>
      <c r="C87" s="4"/>
      <c r="D87" s="4"/>
      <c r="E87" s="5" t="str">
        <f aca="false">IF($C87="","",IF(ISNUMBER(MATCH($C87,'A Loose'!$A$5:$A$104,0)),"A",IF(ISNUMBER(MATCH($C87,'B Made'!$A$5:$A$104,0)),"B","?? unknown code")))</f>
        <v/>
      </c>
      <c r="F87" s="5" t="str">
        <f aca="false">IF($C87="","",IFERROR(IF($E87="A",INDEX('A Loose'!$B$5:$B$104,MATCH($C87,'A Loose'!$A$5:$A$104,0)),IF($E87="B",INDEX('B Made'!$B$5:$B$104,MATCH($C87,'B Made'!$A$5:$A$104,0)),"")),""))</f>
        <v/>
      </c>
      <c r="G87" s="6" t="str">
        <f aca="false">IF($A87="","",IF($B87="B",IFERROR(INDEX('B Made'!$G$5:$G$104,MATCH($A87,'B Made'!$A$5:$A$104,0)),0),IF($B87="C",IFERROR(INDEX('C Kits'!$E$5:$E$104,MATCH($A87,'C Kits'!$A$5:$A$104,0)),0),0)))</f>
        <v/>
      </c>
      <c r="H87" s="5" t="str">
        <f aca="false">IF($A87="","",$D87*$G87)</f>
        <v/>
      </c>
      <c r="I87" s="6" t="str">
        <f aca="false">IF($B87&lt;&gt;"B","",IFERROR(IF($D87=0,0,FLOOR(MAX(0,INDEX('A Loose'!$K$5:$K$104,MATCH($C87,'A Loose'!$A$5:$A$104,0)))/$D87,1)),0))</f>
        <v/>
      </c>
      <c r="J87" s="6" t="str">
        <f aca="false">IF($B87&lt;&gt;"C","",IFERROR(IF($E87="B",IF($D87=0,0,FLOOR(MAX(0,INDEX('B Made'!$F$5:$F$104,MATCH($C87,'B Made'!$A$5:$A$104,0)))/$D87,1)),IF($O87=0,0,FLOOR(MAX(0,INDEX('A Loose'!$K$5:$K$104,MATCH($C87,'A Loose'!$A$5:$A$104,0)))/$O87,1))),0))</f>
        <v/>
      </c>
      <c r="K87" s="6" t="str">
        <f aca="false">IF($B87&lt;&gt;"C","",IFERROR(IF($E87="B",IF($D87=0,0,FLOOR(MAX(0,INDEX('B Made'!$I$5:$I$104,MATCH($C87,'B Made'!$A$5:$A$104,0)))/$D87,1)),IF($O87=0,0,FLOOR(MAX(0,INDEX('A Loose'!$K$5:$K$104,MATCH($C87,'A Loose'!$A$5:$A$104,0)))/$O87,1))),0))</f>
        <v/>
      </c>
      <c r="L87" s="6" t="str">
        <f aca="false">IF($B87&lt;&gt;"C","",$A87&amp;"|"&amp;$K87)</f>
        <v/>
      </c>
      <c r="M87" s="6" t="str">
        <f aca="false">IF($B87&lt;&gt;"B","",$A87&amp;"|"&amp;$I87)</f>
        <v/>
      </c>
      <c r="N87" s="6" t="str">
        <f aca="false">IF($C87="","",COUNTIFS(Recipes!$C$5:$C$104,$C87,Recipes!$B$5:$B$104,"C"))</f>
        <v/>
      </c>
      <c r="O87" s="6" t="str">
        <f aca="false">IF(OR($B87&lt;&gt;"C",$E87&lt;&gt;"A"),"",$D87+SUMPRODUCT((Recipes!$A$5:$A$104=$A87)*(Recipes!$B$5:$B$104="C")*(Recipes!$E$5:$E$104="B")*Recipes!$D$5:$D$104*SUMIFS(Recipes!$D$5:$D$104,Recipes!$A$5:$A$104,Recipes!$C$5:$C$104,Recipes!$B$5:$B$104,"B",Recipes!$C$5:$C$104,$C87)))</f>
        <v/>
      </c>
    </row>
    <row r="88" customFormat="false" ht="15" hidden="false" customHeight="false" outlineLevel="0" collapsed="false">
      <c r="A88" s="4"/>
      <c r="B88" s="4"/>
      <c r="C88" s="4"/>
      <c r="D88" s="4"/>
      <c r="E88" s="5" t="str">
        <f aca="false">IF($C88="","",IF(ISNUMBER(MATCH($C88,'A Loose'!$A$5:$A$104,0)),"A",IF(ISNUMBER(MATCH($C88,'B Made'!$A$5:$A$104,0)),"B","?? unknown code")))</f>
        <v/>
      </c>
      <c r="F88" s="5" t="str">
        <f aca="false">IF($C88="","",IFERROR(IF($E88="A",INDEX('A Loose'!$B$5:$B$104,MATCH($C88,'A Loose'!$A$5:$A$104,0)),IF($E88="B",INDEX('B Made'!$B$5:$B$104,MATCH($C88,'B Made'!$A$5:$A$104,0)),"")),""))</f>
        <v/>
      </c>
      <c r="G88" s="6" t="str">
        <f aca="false">IF($A88="","",IF($B88="B",IFERROR(INDEX('B Made'!$G$5:$G$104,MATCH($A88,'B Made'!$A$5:$A$104,0)),0),IF($B88="C",IFERROR(INDEX('C Kits'!$E$5:$E$104,MATCH($A88,'C Kits'!$A$5:$A$104,0)),0),0)))</f>
        <v/>
      </c>
      <c r="H88" s="5" t="str">
        <f aca="false">IF($A88="","",$D88*$G88)</f>
        <v/>
      </c>
      <c r="I88" s="6" t="str">
        <f aca="false">IF($B88&lt;&gt;"B","",IFERROR(IF($D88=0,0,FLOOR(MAX(0,INDEX('A Loose'!$K$5:$K$104,MATCH($C88,'A Loose'!$A$5:$A$104,0)))/$D88,1)),0))</f>
        <v/>
      </c>
      <c r="J88" s="6" t="str">
        <f aca="false">IF($B88&lt;&gt;"C","",IFERROR(IF($E88="B",IF($D88=0,0,FLOOR(MAX(0,INDEX('B Made'!$F$5:$F$104,MATCH($C88,'B Made'!$A$5:$A$104,0)))/$D88,1)),IF($O88=0,0,FLOOR(MAX(0,INDEX('A Loose'!$K$5:$K$104,MATCH($C88,'A Loose'!$A$5:$A$104,0)))/$O88,1))),0))</f>
        <v/>
      </c>
      <c r="K88" s="6" t="str">
        <f aca="false">IF($B88&lt;&gt;"C","",IFERROR(IF($E88="B",IF($D88=0,0,FLOOR(MAX(0,INDEX('B Made'!$I$5:$I$104,MATCH($C88,'B Made'!$A$5:$A$104,0)))/$D88,1)),IF($O88=0,0,FLOOR(MAX(0,INDEX('A Loose'!$K$5:$K$104,MATCH($C88,'A Loose'!$A$5:$A$104,0)))/$O88,1))),0))</f>
        <v/>
      </c>
      <c r="L88" s="6" t="str">
        <f aca="false">IF($B88&lt;&gt;"C","",$A88&amp;"|"&amp;$K88)</f>
        <v/>
      </c>
      <c r="M88" s="6" t="str">
        <f aca="false">IF($B88&lt;&gt;"B","",$A88&amp;"|"&amp;$I88)</f>
        <v/>
      </c>
      <c r="N88" s="6" t="str">
        <f aca="false">IF($C88="","",COUNTIFS(Recipes!$C$5:$C$104,$C88,Recipes!$B$5:$B$104,"C"))</f>
        <v/>
      </c>
      <c r="O88" s="6" t="str">
        <f aca="false">IF(OR($B88&lt;&gt;"C",$E88&lt;&gt;"A"),"",$D88+SUMPRODUCT((Recipes!$A$5:$A$104=$A88)*(Recipes!$B$5:$B$104="C")*(Recipes!$E$5:$E$104="B")*Recipes!$D$5:$D$104*SUMIFS(Recipes!$D$5:$D$104,Recipes!$A$5:$A$104,Recipes!$C$5:$C$104,Recipes!$B$5:$B$104,"B",Recipes!$C$5:$C$104,$C88)))</f>
        <v/>
      </c>
    </row>
    <row r="89" customFormat="false" ht="15" hidden="false" customHeight="false" outlineLevel="0" collapsed="false">
      <c r="A89" s="4"/>
      <c r="B89" s="4"/>
      <c r="C89" s="4"/>
      <c r="D89" s="4"/>
      <c r="E89" s="5" t="str">
        <f aca="false">IF($C89="","",IF(ISNUMBER(MATCH($C89,'A Loose'!$A$5:$A$104,0)),"A",IF(ISNUMBER(MATCH($C89,'B Made'!$A$5:$A$104,0)),"B","?? unknown code")))</f>
        <v/>
      </c>
      <c r="F89" s="5" t="str">
        <f aca="false">IF($C89="","",IFERROR(IF($E89="A",INDEX('A Loose'!$B$5:$B$104,MATCH($C89,'A Loose'!$A$5:$A$104,0)),IF($E89="B",INDEX('B Made'!$B$5:$B$104,MATCH($C89,'B Made'!$A$5:$A$104,0)),"")),""))</f>
        <v/>
      </c>
      <c r="G89" s="6" t="str">
        <f aca="false">IF($A89="","",IF($B89="B",IFERROR(INDEX('B Made'!$G$5:$G$104,MATCH($A89,'B Made'!$A$5:$A$104,0)),0),IF($B89="C",IFERROR(INDEX('C Kits'!$E$5:$E$104,MATCH($A89,'C Kits'!$A$5:$A$104,0)),0),0)))</f>
        <v/>
      </c>
      <c r="H89" s="5" t="str">
        <f aca="false">IF($A89="","",$D89*$G89)</f>
        <v/>
      </c>
      <c r="I89" s="6" t="str">
        <f aca="false">IF($B89&lt;&gt;"B","",IFERROR(IF($D89=0,0,FLOOR(MAX(0,INDEX('A Loose'!$K$5:$K$104,MATCH($C89,'A Loose'!$A$5:$A$104,0)))/$D89,1)),0))</f>
        <v/>
      </c>
      <c r="J89" s="6" t="str">
        <f aca="false">IF($B89&lt;&gt;"C","",IFERROR(IF($E89="B",IF($D89=0,0,FLOOR(MAX(0,INDEX('B Made'!$F$5:$F$104,MATCH($C89,'B Made'!$A$5:$A$104,0)))/$D89,1)),IF($O89=0,0,FLOOR(MAX(0,INDEX('A Loose'!$K$5:$K$104,MATCH($C89,'A Loose'!$A$5:$A$104,0)))/$O89,1))),0))</f>
        <v/>
      </c>
      <c r="K89" s="6" t="str">
        <f aca="false">IF($B89&lt;&gt;"C","",IFERROR(IF($E89="B",IF($D89=0,0,FLOOR(MAX(0,INDEX('B Made'!$I$5:$I$104,MATCH($C89,'B Made'!$A$5:$A$104,0)))/$D89,1)),IF($O89=0,0,FLOOR(MAX(0,INDEX('A Loose'!$K$5:$K$104,MATCH($C89,'A Loose'!$A$5:$A$104,0)))/$O89,1))),0))</f>
        <v/>
      </c>
      <c r="L89" s="6" t="str">
        <f aca="false">IF($B89&lt;&gt;"C","",$A89&amp;"|"&amp;$K89)</f>
        <v/>
      </c>
      <c r="M89" s="6" t="str">
        <f aca="false">IF($B89&lt;&gt;"B","",$A89&amp;"|"&amp;$I89)</f>
        <v/>
      </c>
      <c r="N89" s="6" t="str">
        <f aca="false">IF($C89="","",COUNTIFS(Recipes!$C$5:$C$104,$C89,Recipes!$B$5:$B$104,"C"))</f>
        <v/>
      </c>
      <c r="O89" s="6" t="str">
        <f aca="false">IF(OR($B89&lt;&gt;"C",$E89&lt;&gt;"A"),"",$D89+SUMPRODUCT((Recipes!$A$5:$A$104=$A89)*(Recipes!$B$5:$B$104="C")*(Recipes!$E$5:$E$104="B")*Recipes!$D$5:$D$104*SUMIFS(Recipes!$D$5:$D$104,Recipes!$A$5:$A$104,Recipes!$C$5:$C$104,Recipes!$B$5:$B$104,"B",Recipes!$C$5:$C$104,$C89)))</f>
        <v/>
      </c>
    </row>
    <row r="90" customFormat="false" ht="15" hidden="false" customHeight="false" outlineLevel="0" collapsed="false">
      <c r="A90" s="4"/>
      <c r="B90" s="4"/>
      <c r="C90" s="4"/>
      <c r="D90" s="4"/>
      <c r="E90" s="5" t="str">
        <f aca="false">IF($C90="","",IF(ISNUMBER(MATCH($C90,'A Loose'!$A$5:$A$104,0)),"A",IF(ISNUMBER(MATCH($C90,'B Made'!$A$5:$A$104,0)),"B","?? unknown code")))</f>
        <v/>
      </c>
      <c r="F90" s="5" t="str">
        <f aca="false">IF($C90="","",IFERROR(IF($E90="A",INDEX('A Loose'!$B$5:$B$104,MATCH($C90,'A Loose'!$A$5:$A$104,0)),IF($E90="B",INDEX('B Made'!$B$5:$B$104,MATCH($C90,'B Made'!$A$5:$A$104,0)),"")),""))</f>
        <v/>
      </c>
      <c r="G90" s="6" t="str">
        <f aca="false">IF($A90="","",IF($B90="B",IFERROR(INDEX('B Made'!$G$5:$G$104,MATCH($A90,'B Made'!$A$5:$A$104,0)),0),IF($B90="C",IFERROR(INDEX('C Kits'!$E$5:$E$104,MATCH($A90,'C Kits'!$A$5:$A$104,0)),0),0)))</f>
        <v/>
      </c>
      <c r="H90" s="5" t="str">
        <f aca="false">IF($A90="","",$D90*$G90)</f>
        <v/>
      </c>
      <c r="I90" s="6" t="str">
        <f aca="false">IF($B90&lt;&gt;"B","",IFERROR(IF($D90=0,0,FLOOR(MAX(0,INDEX('A Loose'!$K$5:$K$104,MATCH($C90,'A Loose'!$A$5:$A$104,0)))/$D90,1)),0))</f>
        <v/>
      </c>
      <c r="J90" s="6" t="str">
        <f aca="false">IF($B90&lt;&gt;"C","",IFERROR(IF($E90="B",IF($D90=0,0,FLOOR(MAX(0,INDEX('B Made'!$F$5:$F$104,MATCH($C90,'B Made'!$A$5:$A$104,0)))/$D90,1)),IF($O90=0,0,FLOOR(MAX(0,INDEX('A Loose'!$K$5:$K$104,MATCH($C90,'A Loose'!$A$5:$A$104,0)))/$O90,1))),0))</f>
        <v/>
      </c>
      <c r="K90" s="6" t="str">
        <f aca="false">IF($B90&lt;&gt;"C","",IFERROR(IF($E90="B",IF($D90=0,0,FLOOR(MAX(0,INDEX('B Made'!$I$5:$I$104,MATCH($C90,'B Made'!$A$5:$A$104,0)))/$D90,1)),IF($O90=0,0,FLOOR(MAX(0,INDEX('A Loose'!$K$5:$K$104,MATCH($C90,'A Loose'!$A$5:$A$104,0)))/$O90,1))),0))</f>
        <v/>
      </c>
      <c r="L90" s="6" t="str">
        <f aca="false">IF($B90&lt;&gt;"C","",$A90&amp;"|"&amp;$K90)</f>
        <v/>
      </c>
      <c r="M90" s="6" t="str">
        <f aca="false">IF($B90&lt;&gt;"B","",$A90&amp;"|"&amp;$I90)</f>
        <v/>
      </c>
      <c r="N90" s="6" t="str">
        <f aca="false">IF($C90="","",COUNTIFS(Recipes!$C$5:$C$104,$C90,Recipes!$B$5:$B$104,"C"))</f>
        <v/>
      </c>
      <c r="O90" s="6" t="str">
        <f aca="false">IF(OR($B90&lt;&gt;"C",$E90&lt;&gt;"A"),"",$D90+SUMPRODUCT((Recipes!$A$5:$A$104=$A90)*(Recipes!$B$5:$B$104="C")*(Recipes!$E$5:$E$104="B")*Recipes!$D$5:$D$104*SUMIFS(Recipes!$D$5:$D$104,Recipes!$A$5:$A$104,Recipes!$C$5:$C$104,Recipes!$B$5:$B$104,"B",Recipes!$C$5:$C$104,$C90)))</f>
        <v/>
      </c>
    </row>
    <row r="91" customFormat="false" ht="15" hidden="false" customHeight="false" outlineLevel="0" collapsed="false">
      <c r="A91" s="4"/>
      <c r="B91" s="4"/>
      <c r="C91" s="4"/>
      <c r="D91" s="4"/>
      <c r="E91" s="5" t="str">
        <f aca="false">IF($C91="","",IF(ISNUMBER(MATCH($C91,'A Loose'!$A$5:$A$104,0)),"A",IF(ISNUMBER(MATCH($C91,'B Made'!$A$5:$A$104,0)),"B","?? unknown code")))</f>
        <v/>
      </c>
      <c r="F91" s="5" t="str">
        <f aca="false">IF($C91="","",IFERROR(IF($E91="A",INDEX('A Loose'!$B$5:$B$104,MATCH($C91,'A Loose'!$A$5:$A$104,0)),IF($E91="B",INDEX('B Made'!$B$5:$B$104,MATCH($C91,'B Made'!$A$5:$A$104,0)),"")),""))</f>
        <v/>
      </c>
      <c r="G91" s="6" t="str">
        <f aca="false">IF($A91="","",IF($B91="B",IFERROR(INDEX('B Made'!$G$5:$G$104,MATCH($A91,'B Made'!$A$5:$A$104,0)),0),IF($B91="C",IFERROR(INDEX('C Kits'!$E$5:$E$104,MATCH($A91,'C Kits'!$A$5:$A$104,0)),0),0)))</f>
        <v/>
      </c>
      <c r="H91" s="5" t="str">
        <f aca="false">IF($A91="","",$D91*$G91)</f>
        <v/>
      </c>
      <c r="I91" s="6" t="str">
        <f aca="false">IF($B91&lt;&gt;"B","",IFERROR(IF($D91=0,0,FLOOR(MAX(0,INDEX('A Loose'!$K$5:$K$104,MATCH($C91,'A Loose'!$A$5:$A$104,0)))/$D91,1)),0))</f>
        <v/>
      </c>
      <c r="J91" s="6" t="str">
        <f aca="false">IF($B91&lt;&gt;"C","",IFERROR(IF($E91="B",IF($D91=0,0,FLOOR(MAX(0,INDEX('B Made'!$F$5:$F$104,MATCH($C91,'B Made'!$A$5:$A$104,0)))/$D91,1)),IF($O91=0,0,FLOOR(MAX(0,INDEX('A Loose'!$K$5:$K$104,MATCH($C91,'A Loose'!$A$5:$A$104,0)))/$O91,1))),0))</f>
        <v/>
      </c>
      <c r="K91" s="6" t="str">
        <f aca="false">IF($B91&lt;&gt;"C","",IFERROR(IF($E91="B",IF($D91=0,0,FLOOR(MAX(0,INDEX('B Made'!$I$5:$I$104,MATCH($C91,'B Made'!$A$5:$A$104,0)))/$D91,1)),IF($O91=0,0,FLOOR(MAX(0,INDEX('A Loose'!$K$5:$K$104,MATCH($C91,'A Loose'!$A$5:$A$104,0)))/$O91,1))),0))</f>
        <v/>
      </c>
      <c r="L91" s="6" t="str">
        <f aca="false">IF($B91&lt;&gt;"C","",$A91&amp;"|"&amp;$K91)</f>
        <v/>
      </c>
      <c r="M91" s="6" t="str">
        <f aca="false">IF($B91&lt;&gt;"B","",$A91&amp;"|"&amp;$I91)</f>
        <v/>
      </c>
      <c r="N91" s="6" t="str">
        <f aca="false">IF($C91="","",COUNTIFS(Recipes!$C$5:$C$104,$C91,Recipes!$B$5:$B$104,"C"))</f>
        <v/>
      </c>
      <c r="O91" s="6" t="str">
        <f aca="false">IF(OR($B91&lt;&gt;"C",$E91&lt;&gt;"A"),"",$D91+SUMPRODUCT((Recipes!$A$5:$A$104=$A91)*(Recipes!$B$5:$B$104="C")*(Recipes!$E$5:$E$104="B")*Recipes!$D$5:$D$104*SUMIFS(Recipes!$D$5:$D$104,Recipes!$A$5:$A$104,Recipes!$C$5:$C$104,Recipes!$B$5:$B$104,"B",Recipes!$C$5:$C$104,$C91)))</f>
        <v/>
      </c>
    </row>
    <row r="92" customFormat="false" ht="15" hidden="false" customHeight="false" outlineLevel="0" collapsed="false">
      <c r="A92" s="4"/>
      <c r="B92" s="4"/>
      <c r="C92" s="4"/>
      <c r="D92" s="4"/>
      <c r="E92" s="5" t="str">
        <f aca="false">IF($C92="","",IF(ISNUMBER(MATCH($C92,'A Loose'!$A$5:$A$104,0)),"A",IF(ISNUMBER(MATCH($C92,'B Made'!$A$5:$A$104,0)),"B","?? unknown code")))</f>
        <v/>
      </c>
      <c r="F92" s="5" t="str">
        <f aca="false">IF($C92="","",IFERROR(IF($E92="A",INDEX('A Loose'!$B$5:$B$104,MATCH($C92,'A Loose'!$A$5:$A$104,0)),IF($E92="B",INDEX('B Made'!$B$5:$B$104,MATCH($C92,'B Made'!$A$5:$A$104,0)),"")),""))</f>
        <v/>
      </c>
      <c r="G92" s="6" t="str">
        <f aca="false">IF($A92="","",IF($B92="B",IFERROR(INDEX('B Made'!$G$5:$G$104,MATCH($A92,'B Made'!$A$5:$A$104,0)),0),IF($B92="C",IFERROR(INDEX('C Kits'!$E$5:$E$104,MATCH($A92,'C Kits'!$A$5:$A$104,0)),0),0)))</f>
        <v/>
      </c>
      <c r="H92" s="5" t="str">
        <f aca="false">IF($A92="","",$D92*$G92)</f>
        <v/>
      </c>
      <c r="I92" s="6" t="str">
        <f aca="false">IF($B92&lt;&gt;"B","",IFERROR(IF($D92=0,0,FLOOR(MAX(0,INDEX('A Loose'!$K$5:$K$104,MATCH($C92,'A Loose'!$A$5:$A$104,0)))/$D92,1)),0))</f>
        <v/>
      </c>
      <c r="J92" s="6" t="str">
        <f aca="false">IF($B92&lt;&gt;"C","",IFERROR(IF($E92="B",IF($D92=0,0,FLOOR(MAX(0,INDEX('B Made'!$F$5:$F$104,MATCH($C92,'B Made'!$A$5:$A$104,0)))/$D92,1)),IF($O92=0,0,FLOOR(MAX(0,INDEX('A Loose'!$K$5:$K$104,MATCH($C92,'A Loose'!$A$5:$A$104,0)))/$O92,1))),0))</f>
        <v/>
      </c>
      <c r="K92" s="6" t="str">
        <f aca="false">IF($B92&lt;&gt;"C","",IFERROR(IF($E92="B",IF($D92=0,0,FLOOR(MAX(0,INDEX('B Made'!$I$5:$I$104,MATCH($C92,'B Made'!$A$5:$A$104,0)))/$D92,1)),IF($O92=0,0,FLOOR(MAX(0,INDEX('A Loose'!$K$5:$K$104,MATCH($C92,'A Loose'!$A$5:$A$104,0)))/$O92,1))),0))</f>
        <v/>
      </c>
      <c r="L92" s="6" t="str">
        <f aca="false">IF($B92&lt;&gt;"C","",$A92&amp;"|"&amp;$K92)</f>
        <v/>
      </c>
      <c r="M92" s="6" t="str">
        <f aca="false">IF($B92&lt;&gt;"B","",$A92&amp;"|"&amp;$I92)</f>
        <v/>
      </c>
      <c r="N92" s="6" t="str">
        <f aca="false">IF($C92="","",COUNTIFS(Recipes!$C$5:$C$104,$C92,Recipes!$B$5:$B$104,"C"))</f>
        <v/>
      </c>
      <c r="O92" s="6" t="str">
        <f aca="false">IF(OR($B92&lt;&gt;"C",$E92&lt;&gt;"A"),"",$D92+SUMPRODUCT((Recipes!$A$5:$A$104=$A92)*(Recipes!$B$5:$B$104="C")*(Recipes!$E$5:$E$104="B")*Recipes!$D$5:$D$104*SUMIFS(Recipes!$D$5:$D$104,Recipes!$A$5:$A$104,Recipes!$C$5:$C$104,Recipes!$B$5:$B$104,"B",Recipes!$C$5:$C$104,$C92)))</f>
        <v/>
      </c>
    </row>
    <row r="93" customFormat="false" ht="15" hidden="false" customHeight="false" outlineLevel="0" collapsed="false">
      <c r="A93" s="4"/>
      <c r="B93" s="4"/>
      <c r="C93" s="4"/>
      <c r="D93" s="4"/>
      <c r="E93" s="5" t="str">
        <f aca="false">IF($C93="","",IF(ISNUMBER(MATCH($C93,'A Loose'!$A$5:$A$104,0)),"A",IF(ISNUMBER(MATCH($C93,'B Made'!$A$5:$A$104,0)),"B","?? unknown code")))</f>
        <v/>
      </c>
      <c r="F93" s="5" t="str">
        <f aca="false">IF($C93="","",IFERROR(IF($E93="A",INDEX('A Loose'!$B$5:$B$104,MATCH($C93,'A Loose'!$A$5:$A$104,0)),IF($E93="B",INDEX('B Made'!$B$5:$B$104,MATCH($C93,'B Made'!$A$5:$A$104,0)),"")),""))</f>
        <v/>
      </c>
      <c r="G93" s="6" t="str">
        <f aca="false">IF($A93="","",IF($B93="B",IFERROR(INDEX('B Made'!$G$5:$G$104,MATCH($A93,'B Made'!$A$5:$A$104,0)),0),IF($B93="C",IFERROR(INDEX('C Kits'!$E$5:$E$104,MATCH($A93,'C Kits'!$A$5:$A$104,0)),0),0)))</f>
        <v/>
      </c>
      <c r="H93" s="5" t="str">
        <f aca="false">IF($A93="","",$D93*$G93)</f>
        <v/>
      </c>
      <c r="I93" s="6" t="str">
        <f aca="false">IF($B93&lt;&gt;"B","",IFERROR(IF($D93=0,0,FLOOR(MAX(0,INDEX('A Loose'!$K$5:$K$104,MATCH($C93,'A Loose'!$A$5:$A$104,0)))/$D93,1)),0))</f>
        <v/>
      </c>
      <c r="J93" s="6" t="str">
        <f aca="false">IF($B93&lt;&gt;"C","",IFERROR(IF($E93="B",IF($D93=0,0,FLOOR(MAX(0,INDEX('B Made'!$F$5:$F$104,MATCH($C93,'B Made'!$A$5:$A$104,0)))/$D93,1)),IF($O93=0,0,FLOOR(MAX(0,INDEX('A Loose'!$K$5:$K$104,MATCH($C93,'A Loose'!$A$5:$A$104,0)))/$O93,1))),0))</f>
        <v/>
      </c>
      <c r="K93" s="6" t="str">
        <f aca="false">IF($B93&lt;&gt;"C","",IFERROR(IF($E93="B",IF($D93=0,0,FLOOR(MAX(0,INDEX('B Made'!$I$5:$I$104,MATCH($C93,'B Made'!$A$5:$A$104,0)))/$D93,1)),IF($O93=0,0,FLOOR(MAX(0,INDEX('A Loose'!$K$5:$K$104,MATCH($C93,'A Loose'!$A$5:$A$104,0)))/$O93,1))),0))</f>
        <v/>
      </c>
      <c r="L93" s="6" t="str">
        <f aca="false">IF($B93&lt;&gt;"C","",$A93&amp;"|"&amp;$K93)</f>
        <v/>
      </c>
      <c r="M93" s="6" t="str">
        <f aca="false">IF($B93&lt;&gt;"B","",$A93&amp;"|"&amp;$I93)</f>
        <v/>
      </c>
      <c r="N93" s="6" t="str">
        <f aca="false">IF($C93="","",COUNTIFS(Recipes!$C$5:$C$104,$C93,Recipes!$B$5:$B$104,"C"))</f>
        <v/>
      </c>
      <c r="O93" s="6" t="str">
        <f aca="false">IF(OR($B93&lt;&gt;"C",$E93&lt;&gt;"A"),"",$D93+SUMPRODUCT((Recipes!$A$5:$A$104=$A93)*(Recipes!$B$5:$B$104="C")*(Recipes!$E$5:$E$104="B")*Recipes!$D$5:$D$104*SUMIFS(Recipes!$D$5:$D$104,Recipes!$A$5:$A$104,Recipes!$C$5:$C$104,Recipes!$B$5:$B$104,"B",Recipes!$C$5:$C$104,$C93)))</f>
        <v/>
      </c>
    </row>
    <row r="94" customFormat="false" ht="15" hidden="false" customHeight="false" outlineLevel="0" collapsed="false">
      <c r="A94" s="4"/>
      <c r="B94" s="4"/>
      <c r="C94" s="4"/>
      <c r="D94" s="4"/>
      <c r="E94" s="5" t="str">
        <f aca="false">IF($C94="","",IF(ISNUMBER(MATCH($C94,'A Loose'!$A$5:$A$104,0)),"A",IF(ISNUMBER(MATCH($C94,'B Made'!$A$5:$A$104,0)),"B","?? unknown code")))</f>
        <v/>
      </c>
      <c r="F94" s="5" t="str">
        <f aca="false">IF($C94="","",IFERROR(IF($E94="A",INDEX('A Loose'!$B$5:$B$104,MATCH($C94,'A Loose'!$A$5:$A$104,0)),IF($E94="B",INDEX('B Made'!$B$5:$B$104,MATCH($C94,'B Made'!$A$5:$A$104,0)),"")),""))</f>
        <v/>
      </c>
      <c r="G94" s="6" t="str">
        <f aca="false">IF($A94="","",IF($B94="B",IFERROR(INDEX('B Made'!$G$5:$G$104,MATCH($A94,'B Made'!$A$5:$A$104,0)),0),IF($B94="C",IFERROR(INDEX('C Kits'!$E$5:$E$104,MATCH($A94,'C Kits'!$A$5:$A$104,0)),0),0)))</f>
        <v/>
      </c>
      <c r="H94" s="5" t="str">
        <f aca="false">IF($A94="","",$D94*$G94)</f>
        <v/>
      </c>
      <c r="I94" s="6" t="str">
        <f aca="false">IF($B94&lt;&gt;"B","",IFERROR(IF($D94=0,0,FLOOR(MAX(0,INDEX('A Loose'!$K$5:$K$104,MATCH($C94,'A Loose'!$A$5:$A$104,0)))/$D94,1)),0))</f>
        <v/>
      </c>
      <c r="J94" s="6" t="str">
        <f aca="false">IF($B94&lt;&gt;"C","",IFERROR(IF($E94="B",IF($D94=0,0,FLOOR(MAX(0,INDEX('B Made'!$F$5:$F$104,MATCH($C94,'B Made'!$A$5:$A$104,0)))/$D94,1)),IF($O94=0,0,FLOOR(MAX(0,INDEX('A Loose'!$K$5:$K$104,MATCH($C94,'A Loose'!$A$5:$A$104,0)))/$O94,1))),0))</f>
        <v/>
      </c>
      <c r="K94" s="6" t="str">
        <f aca="false">IF($B94&lt;&gt;"C","",IFERROR(IF($E94="B",IF($D94=0,0,FLOOR(MAX(0,INDEX('B Made'!$I$5:$I$104,MATCH($C94,'B Made'!$A$5:$A$104,0)))/$D94,1)),IF($O94=0,0,FLOOR(MAX(0,INDEX('A Loose'!$K$5:$K$104,MATCH($C94,'A Loose'!$A$5:$A$104,0)))/$O94,1))),0))</f>
        <v/>
      </c>
      <c r="L94" s="6" t="str">
        <f aca="false">IF($B94&lt;&gt;"C","",$A94&amp;"|"&amp;$K94)</f>
        <v/>
      </c>
      <c r="M94" s="6" t="str">
        <f aca="false">IF($B94&lt;&gt;"B","",$A94&amp;"|"&amp;$I94)</f>
        <v/>
      </c>
      <c r="N94" s="6" t="str">
        <f aca="false">IF($C94="","",COUNTIFS(Recipes!$C$5:$C$104,$C94,Recipes!$B$5:$B$104,"C"))</f>
        <v/>
      </c>
      <c r="O94" s="6" t="str">
        <f aca="false">IF(OR($B94&lt;&gt;"C",$E94&lt;&gt;"A"),"",$D94+SUMPRODUCT((Recipes!$A$5:$A$104=$A94)*(Recipes!$B$5:$B$104="C")*(Recipes!$E$5:$E$104="B")*Recipes!$D$5:$D$104*SUMIFS(Recipes!$D$5:$D$104,Recipes!$A$5:$A$104,Recipes!$C$5:$C$104,Recipes!$B$5:$B$104,"B",Recipes!$C$5:$C$104,$C94)))</f>
        <v/>
      </c>
    </row>
    <row r="95" customFormat="false" ht="15" hidden="false" customHeight="false" outlineLevel="0" collapsed="false">
      <c r="A95" s="4"/>
      <c r="B95" s="4"/>
      <c r="C95" s="4"/>
      <c r="D95" s="4"/>
      <c r="E95" s="5" t="str">
        <f aca="false">IF($C95="","",IF(ISNUMBER(MATCH($C95,'A Loose'!$A$5:$A$104,0)),"A",IF(ISNUMBER(MATCH($C95,'B Made'!$A$5:$A$104,0)),"B","?? unknown code")))</f>
        <v/>
      </c>
      <c r="F95" s="5" t="str">
        <f aca="false">IF($C95="","",IFERROR(IF($E95="A",INDEX('A Loose'!$B$5:$B$104,MATCH($C95,'A Loose'!$A$5:$A$104,0)),IF($E95="B",INDEX('B Made'!$B$5:$B$104,MATCH($C95,'B Made'!$A$5:$A$104,0)),"")),""))</f>
        <v/>
      </c>
      <c r="G95" s="6" t="str">
        <f aca="false">IF($A95="","",IF($B95="B",IFERROR(INDEX('B Made'!$G$5:$G$104,MATCH($A95,'B Made'!$A$5:$A$104,0)),0),IF($B95="C",IFERROR(INDEX('C Kits'!$E$5:$E$104,MATCH($A95,'C Kits'!$A$5:$A$104,0)),0),0)))</f>
        <v/>
      </c>
      <c r="H95" s="5" t="str">
        <f aca="false">IF($A95="","",$D95*$G95)</f>
        <v/>
      </c>
      <c r="I95" s="6" t="str">
        <f aca="false">IF($B95&lt;&gt;"B","",IFERROR(IF($D95=0,0,FLOOR(MAX(0,INDEX('A Loose'!$K$5:$K$104,MATCH($C95,'A Loose'!$A$5:$A$104,0)))/$D95,1)),0))</f>
        <v/>
      </c>
      <c r="J95" s="6" t="str">
        <f aca="false">IF($B95&lt;&gt;"C","",IFERROR(IF($E95="B",IF($D95=0,0,FLOOR(MAX(0,INDEX('B Made'!$F$5:$F$104,MATCH($C95,'B Made'!$A$5:$A$104,0)))/$D95,1)),IF($O95=0,0,FLOOR(MAX(0,INDEX('A Loose'!$K$5:$K$104,MATCH($C95,'A Loose'!$A$5:$A$104,0)))/$O95,1))),0))</f>
        <v/>
      </c>
      <c r="K95" s="6" t="str">
        <f aca="false">IF($B95&lt;&gt;"C","",IFERROR(IF($E95="B",IF($D95=0,0,FLOOR(MAX(0,INDEX('B Made'!$I$5:$I$104,MATCH($C95,'B Made'!$A$5:$A$104,0)))/$D95,1)),IF($O95=0,0,FLOOR(MAX(0,INDEX('A Loose'!$K$5:$K$104,MATCH($C95,'A Loose'!$A$5:$A$104,0)))/$O95,1))),0))</f>
        <v/>
      </c>
      <c r="L95" s="6" t="str">
        <f aca="false">IF($B95&lt;&gt;"C","",$A95&amp;"|"&amp;$K95)</f>
        <v/>
      </c>
      <c r="M95" s="6" t="str">
        <f aca="false">IF($B95&lt;&gt;"B","",$A95&amp;"|"&amp;$I95)</f>
        <v/>
      </c>
      <c r="N95" s="6" t="str">
        <f aca="false">IF($C95="","",COUNTIFS(Recipes!$C$5:$C$104,$C95,Recipes!$B$5:$B$104,"C"))</f>
        <v/>
      </c>
      <c r="O95" s="6" t="str">
        <f aca="false">IF(OR($B95&lt;&gt;"C",$E95&lt;&gt;"A"),"",$D95+SUMPRODUCT((Recipes!$A$5:$A$104=$A95)*(Recipes!$B$5:$B$104="C")*(Recipes!$E$5:$E$104="B")*Recipes!$D$5:$D$104*SUMIFS(Recipes!$D$5:$D$104,Recipes!$A$5:$A$104,Recipes!$C$5:$C$104,Recipes!$B$5:$B$104,"B",Recipes!$C$5:$C$104,$C95)))</f>
        <v/>
      </c>
    </row>
    <row r="96" customFormat="false" ht="15" hidden="false" customHeight="false" outlineLevel="0" collapsed="false">
      <c r="A96" s="4"/>
      <c r="B96" s="4"/>
      <c r="C96" s="4"/>
      <c r="D96" s="4"/>
      <c r="E96" s="5" t="str">
        <f aca="false">IF($C96="","",IF(ISNUMBER(MATCH($C96,'A Loose'!$A$5:$A$104,0)),"A",IF(ISNUMBER(MATCH($C96,'B Made'!$A$5:$A$104,0)),"B","?? unknown code")))</f>
        <v/>
      </c>
      <c r="F96" s="5" t="str">
        <f aca="false">IF($C96="","",IFERROR(IF($E96="A",INDEX('A Loose'!$B$5:$B$104,MATCH($C96,'A Loose'!$A$5:$A$104,0)),IF($E96="B",INDEX('B Made'!$B$5:$B$104,MATCH($C96,'B Made'!$A$5:$A$104,0)),"")),""))</f>
        <v/>
      </c>
      <c r="G96" s="6" t="str">
        <f aca="false">IF($A96="","",IF($B96="B",IFERROR(INDEX('B Made'!$G$5:$G$104,MATCH($A96,'B Made'!$A$5:$A$104,0)),0),IF($B96="C",IFERROR(INDEX('C Kits'!$E$5:$E$104,MATCH($A96,'C Kits'!$A$5:$A$104,0)),0),0)))</f>
        <v/>
      </c>
      <c r="H96" s="5" t="str">
        <f aca="false">IF($A96="","",$D96*$G96)</f>
        <v/>
      </c>
      <c r="I96" s="6" t="str">
        <f aca="false">IF($B96&lt;&gt;"B","",IFERROR(IF($D96=0,0,FLOOR(MAX(0,INDEX('A Loose'!$K$5:$K$104,MATCH($C96,'A Loose'!$A$5:$A$104,0)))/$D96,1)),0))</f>
        <v/>
      </c>
      <c r="J96" s="6" t="str">
        <f aca="false">IF($B96&lt;&gt;"C","",IFERROR(IF($E96="B",IF($D96=0,0,FLOOR(MAX(0,INDEX('B Made'!$F$5:$F$104,MATCH($C96,'B Made'!$A$5:$A$104,0)))/$D96,1)),IF($O96=0,0,FLOOR(MAX(0,INDEX('A Loose'!$K$5:$K$104,MATCH($C96,'A Loose'!$A$5:$A$104,0)))/$O96,1))),0))</f>
        <v/>
      </c>
      <c r="K96" s="6" t="str">
        <f aca="false">IF($B96&lt;&gt;"C","",IFERROR(IF($E96="B",IF($D96=0,0,FLOOR(MAX(0,INDEX('B Made'!$I$5:$I$104,MATCH($C96,'B Made'!$A$5:$A$104,0)))/$D96,1)),IF($O96=0,0,FLOOR(MAX(0,INDEX('A Loose'!$K$5:$K$104,MATCH($C96,'A Loose'!$A$5:$A$104,0)))/$O96,1))),0))</f>
        <v/>
      </c>
      <c r="L96" s="6" t="str">
        <f aca="false">IF($B96&lt;&gt;"C","",$A96&amp;"|"&amp;$K96)</f>
        <v/>
      </c>
      <c r="M96" s="6" t="str">
        <f aca="false">IF($B96&lt;&gt;"B","",$A96&amp;"|"&amp;$I96)</f>
        <v/>
      </c>
      <c r="N96" s="6" t="str">
        <f aca="false">IF($C96="","",COUNTIFS(Recipes!$C$5:$C$104,$C96,Recipes!$B$5:$B$104,"C"))</f>
        <v/>
      </c>
      <c r="O96" s="6" t="str">
        <f aca="false">IF(OR($B96&lt;&gt;"C",$E96&lt;&gt;"A"),"",$D96+SUMPRODUCT((Recipes!$A$5:$A$104=$A96)*(Recipes!$B$5:$B$104="C")*(Recipes!$E$5:$E$104="B")*Recipes!$D$5:$D$104*SUMIFS(Recipes!$D$5:$D$104,Recipes!$A$5:$A$104,Recipes!$C$5:$C$104,Recipes!$B$5:$B$104,"B",Recipes!$C$5:$C$104,$C96)))</f>
        <v/>
      </c>
    </row>
    <row r="97" customFormat="false" ht="15" hidden="false" customHeight="false" outlineLevel="0" collapsed="false">
      <c r="A97" s="4"/>
      <c r="B97" s="4"/>
      <c r="C97" s="4"/>
      <c r="D97" s="4"/>
      <c r="E97" s="5" t="str">
        <f aca="false">IF($C97="","",IF(ISNUMBER(MATCH($C97,'A Loose'!$A$5:$A$104,0)),"A",IF(ISNUMBER(MATCH($C97,'B Made'!$A$5:$A$104,0)),"B","?? unknown code")))</f>
        <v/>
      </c>
      <c r="F97" s="5" t="str">
        <f aca="false">IF($C97="","",IFERROR(IF($E97="A",INDEX('A Loose'!$B$5:$B$104,MATCH($C97,'A Loose'!$A$5:$A$104,0)),IF($E97="B",INDEX('B Made'!$B$5:$B$104,MATCH($C97,'B Made'!$A$5:$A$104,0)),"")),""))</f>
        <v/>
      </c>
      <c r="G97" s="6" t="str">
        <f aca="false">IF($A97="","",IF($B97="B",IFERROR(INDEX('B Made'!$G$5:$G$104,MATCH($A97,'B Made'!$A$5:$A$104,0)),0),IF($B97="C",IFERROR(INDEX('C Kits'!$E$5:$E$104,MATCH($A97,'C Kits'!$A$5:$A$104,0)),0),0)))</f>
        <v/>
      </c>
      <c r="H97" s="5" t="str">
        <f aca="false">IF($A97="","",$D97*$G97)</f>
        <v/>
      </c>
      <c r="I97" s="6" t="str">
        <f aca="false">IF($B97&lt;&gt;"B","",IFERROR(IF($D97=0,0,FLOOR(MAX(0,INDEX('A Loose'!$K$5:$K$104,MATCH($C97,'A Loose'!$A$5:$A$104,0)))/$D97,1)),0))</f>
        <v/>
      </c>
      <c r="J97" s="6" t="str">
        <f aca="false">IF($B97&lt;&gt;"C","",IFERROR(IF($E97="B",IF($D97=0,0,FLOOR(MAX(0,INDEX('B Made'!$F$5:$F$104,MATCH($C97,'B Made'!$A$5:$A$104,0)))/$D97,1)),IF($O97=0,0,FLOOR(MAX(0,INDEX('A Loose'!$K$5:$K$104,MATCH($C97,'A Loose'!$A$5:$A$104,0)))/$O97,1))),0))</f>
        <v/>
      </c>
      <c r="K97" s="6" t="str">
        <f aca="false">IF($B97&lt;&gt;"C","",IFERROR(IF($E97="B",IF($D97=0,0,FLOOR(MAX(0,INDEX('B Made'!$I$5:$I$104,MATCH($C97,'B Made'!$A$5:$A$104,0)))/$D97,1)),IF($O97=0,0,FLOOR(MAX(0,INDEX('A Loose'!$K$5:$K$104,MATCH($C97,'A Loose'!$A$5:$A$104,0)))/$O97,1))),0))</f>
        <v/>
      </c>
      <c r="L97" s="6" t="str">
        <f aca="false">IF($B97&lt;&gt;"C","",$A97&amp;"|"&amp;$K97)</f>
        <v/>
      </c>
      <c r="M97" s="6" t="str">
        <f aca="false">IF($B97&lt;&gt;"B","",$A97&amp;"|"&amp;$I97)</f>
        <v/>
      </c>
      <c r="N97" s="6" t="str">
        <f aca="false">IF($C97="","",COUNTIFS(Recipes!$C$5:$C$104,$C97,Recipes!$B$5:$B$104,"C"))</f>
        <v/>
      </c>
      <c r="O97" s="6" t="str">
        <f aca="false">IF(OR($B97&lt;&gt;"C",$E97&lt;&gt;"A"),"",$D97+SUMPRODUCT((Recipes!$A$5:$A$104=$A97)*(Recipes!$B$5:$B$104="C")*(Recipes!$E$5:$E$104="B")*Recipes!$D$5:$D$104*SUMIFS(Recipes!$D$5:$D$104,Recipes!$A$5:$A$104,Recipes!$C$5:$C$104,Recipes!$B$5:$B$104,"B",Recipes!$C$5:$C$104,$C97)))</f>
        <v/>
      </c>
    </row>
    <row r="98" customFormat="false" ht="15" hidden="false" customHeight="false" outlineLevel="0" collapsed="false">
      <c r="A98" s="4"/>
      <c r="B98" s="4"/>
      <c r="C98" s="4"/>
      <c r="D98" s="4"/>
      <c r="E98" s="5" t="str">
        <f aca="false">IF($C98="","",IF(ISNUMBER(MATCH($C98,'A Loose'!$A$5:$A$104,0)),"A",IF(ISNUMBER(MATCH($C98,'B Made'!$A$5:$A$104,0)),"B","?? unknown code")))</f>
        <v/>
      </c>
      <c r="F98" s="5" t="str">
        <f aca="false">IF($C98="","",IFERROR(IF($E98="A",INDEX('A Loose'!$B$5:$B$104,MATCH($C98,'A Loose'!$A$5:$A$104,0)),IF($E98="B",INDEX('B Made'!$B$5:$B$104,MATCH($C98,'B Made'!$A$5:$A$104,0)),"")),""))</f>
        <v/>
      </c>
      <c r="G98" s="6" t="str">
        <f aca="false">IF($A98="","",IF($B98="B",IFERROR(INDEX('B Made'!$G$5:$G$104,MATCH($A98,'B Made'!$A$5:$A$104,0)),0),IF($B98="C",IFERROR(INDEX('C Kits'!$E$5:$E$104,MATCH($A98,'C Kits'!$A$5:$A$104,0)),0),0)))</f>
        <v/>
      </c>
      <c r="H98" s="5" t="str">
        <f aca="false">IF($A98="","",$D98*$G98)</f>
        <v/>
      </c>
      <c r="I98" s="6" t="str">
        <f aca="false">IF($B98&lt;&gt;"B","",IFERROR(IF($D98=0,0,FLOOR(MAX(0,INDEX('A Loose'!$K$5:$K$104,MATCH($C98,'A Loose'!$A$5:$A$104,0)))/$D98,1)),0))</f>
        <v/>
      </c>
      <c r="J98" s="6" t="str">
        <f aca="false">IF($B98&lt;&gt;"C","",IFERROR(IF($E98="B",IF($D98=0,0,FLOOR(MAX(0,INDEX('B Made'!$F$5:$F$104,MATCH($C98,'B Made'!$A$5:$A$104,0)))/$D98,1)),IF($O98=0,0,FLOOR(MAX(0,INDEX('A Loose'!$K$5:$K$104,MATCH($C98,'A Loose'!$A$5:$A$104,0)))/$O98,1))),0))</f>
        <v/>
      </c>
      <c r="K98" s="6" t="str">
        <f aca="false">IF($B98&lt;&gt;"C","",IFERROR(IF($E98="B",IF($D98=0,0,FLOOR(MAX(0,INDEX('B Made'!$I$5:$I$104,MATCH($C98,'B Made'!$A$5:$A$104,0)))/$D98,1)),IF($O98=0,0,FLOOR(MAX(0,INDEX('A Loose'!$K$5:$K$104,MATCH($C98,'A Loose'!$A$5:$A$104,0)))/$O98,1))),0))</f>
        <v/>
      </c>
      <c r="L98" s="6" t="str">
        <f aca="false">IF($B98&lt;&gt;"C","",$A98&amp;"|"&amp;$K98)</f>
        <v/>
      </c>
      <c r="M98" s="6" t="str">
        <f aca="false">IF($B98&lt;&gt;"B","",$A98&amp;"|"&amp;$I98)</f>
        <v/>
      </c>
      <c r="N98" s="6" t="str">
        <f aca="false">IF($C98="","",COUNTIFS(Recipes!$C$5:$C$104,$C98,Recipes!$B$5:$B$104,"C"))</f>
        <v/>
      </c>
      <c r="O98" s="6" t="str">
        <f aca="false">IF(OR($B98&lt;&gt;"C",$E98&lt;&gt;"A"),"",$D98+SUMPRODUCT((Recipes!$A$5:$A$104=$A98)*(Recipes!$B$5:$B$104="C")*(Recipes!$E$5:$E$104="B")*Recipes!$D$5:$D$104*SUMIFS(Recipes!$D$5:$D$104,Recipes!$A$5:$A$104,Recipes!$C$5:$C$104,Recipes!$B$5:$B$104,"B",Recipes!$C$5:$C$104,$C98)))</f>
        <v/>
      </c>
    </row>
    <row r="99" customFormat="false" ht="15" hidden="false" customHeight="false" outlineLevel="0" collapsed="false">
      <c r="A99" s="4"/>
      <c r="B99" s="4"/>
      <c r="C99" s="4"/>
      <c r="D99" s="4"/>
      <c r="E99" s="5" t="str">
        <f aca="false">IF($C99="","",IF(ISNUMBER(MATCH($C99,'A Loose'!$A$5:$A$104,0)),"A",IF(ISNUMBER(MATCH($C99,'B Made'!$A$5:$A$104,0)),"B","?? unknown code")))</f>
        <v/>
      </c>
      <c r="F99" s="5" t="str">
        <f aca="false">IF($C99="","",IFERROR(IF($E99="A",INDEX('A Loose'!$B$5:$B$104,MATCH($C99,'A Loose'!$A$5:$A$104,0)),IF($E99="B",INDEX('B Made'!$B$5:$B$104,MATCH($C99,'B Made'!$A$5:$A$104,0)),"")),""))</f>
        <v/>
      </c>
      <c r="G99" s="6" t="str">
        <f aca="false">IF($A99="","",IF($B99="B",IFERROR(INDEX('B Made'!$G$5:$G$104,MATCH($A99,'B Made'!$A$5:$A$104,0)),0),IF($B99="C",IFERROR(INDEX('C Kits'!$E$5:$E$104,MATCH($A99,'C Kits'!$A$5:$A$104,0)),0),0)))</f>
        <v/>
      </c>
      <c r="H99" s="5" t="str">
        <f aca="false">IF($A99="","",$D99*$G99)</f>
        <v/>
      </c>
      <c r="I99" s="6" t="str">
        <f aca="false">IF($B99&lt;&gt;"B","",IFERROR(IF($D99=0,0,FLOOR(MAX(0,INDEX('A Loose'!$K$5:$K$104,MATCH($C99,'A Loose'!$A$5:$A$104,0)))/$D99,1)),0))</f>
        <v/>
      </c>
      <c r="J99" s="6" t="str">
        <f aca="false">IF($B99&lt;&gt;"C","",IFERROR(IF($E99="B",IF($D99=0,0,FLOOR(MAX(0,INDEX('B Made'!$F$5:$F$104,MATCH($C99,'B Made'!$A$5:$A$104,0)))/$D99,1)),IF($O99=0,0,FLOOR(MAX(0,INDEX('A Loose'!$K$5:$K$104,MATCH($C99,'A Loose'!$A$5:$A$104,0)))/$O99,1))),0))</f>
        <v/>
      </c>
      <c r="K99" s="6" t="str">
        <f aca="false">IF($B99&lt;&gt;"C","",IFERROR(IF($E99="B",IF($D99=0,0,FLOOR(MAX(0,INDEX('B Made'!$I$5:$I$104,MATCH($C99,'B Made'!$A$5:$A$104,0)))/$D99,1)),IF($O99=0,0,FLOOR(MAX(0,INDEX('A Loose'!$K$5:$K$104,MATCH($C99,'A Loose'!$A$5:$A$104,0)))/$O99,1))),0))</f>
        <v/>
      </c>
      <c r="L99" s="6" t="str">
        <f aca="false">IF($B99&lt;&gt;"C","",$A99&amp;"|"&amp;$K99)</f>
        <v/>
      </c>
      <c r="M99" s="6" t="str">
        <f aca="false">IF($B99&lt;&gt;"B","",$A99&amp;"|"&amp;$I99)</f>
        <v/>
      </c>
      <c r="N99" s="6" t="str">
        <f aca="false">IF($C99="","",COUNTIFS(Recipes!$C$5:$C$104,$C99,Recipes!$B$5:$B$104,"C"))</f>
        <v/>
      </c>
      <c r="O99" s="6" t="str">
        <f aca="false">IF(OR($B99&lt;&gt;"C",$E99&lt;&gt;"A"),"",$D99+SUMPRODUCT((Recipes!$A$5:$A$104=$A99)*(Recipes!$B$5:$B$104="C")*(Recipes!$E$5:$E$104="B")*Recipes!$D$5:$D$104*SUMIFS(Recipes!$D$5:$D$104,Recipes!$A$5:$A$104,Recipes!$C$5:$C$104,Recipes!$B$5:$B$104,"B",Recipes!$C$5:$C$104,$C99)))</f>
        <v/>
      </c>
    </row>
    <row r="100" customFormat="false" ht="15" hidden="false" customHeight="false" outlineLevel="0" collapsed="false">
      <c r="A100" s="4"/>
      <c r="B100" s="4"/>
      <c r="C100" s="4"/>
      <c r="D100" s="4"/>
      <c r="E100" s="5" t="str">
        <f aca="false">IF($C100="","",IF(ISNUMBER(MATCH($C100,'A Loose'!$A$5:$A$104,0)),"A",IF(ISNUMBER(MATCH($C100,'B Made'!$A$5:$A$104,0)),"B","?? unknown code")))</f>
        <v/>
      </c>
      <c r="F100" s="5" t="str">
        <f aca="false">IF($C100="","",IFERROR(IF($E100="A",INDEX('A Loose'!$B$5:$B$104,MATCH($C100,'A Loose'!$A$5:$A$104,0)),IF($E100="B",INDEX('B Made'!$B$5:$B$104,MATCH($C100,'B Made'!$A$5:$A$104,0)),"")),""))</f>
        <v/>
      </c>
      <c r="G100" s="6" t="str">
        <f aca="false">IF($A100="","",IF($B100="B",IFERROR(INDEX('B Made'!$G$5:$G$104,MATCH($A100,'B Made'!$A$5:$A$104,0)),0),IF($B100="C",IFERROR(INDEX('C Kits'!$E$5:$E$104,MATCH($A100,'C Kits'!$A$5:$A$104,0)),0),0)))</f>
        <v/>
      </c>
      <c r="H100" s="5" t="str">
        <f aca="false">IF($A100="","",$D100*$G100)</f>
        <v/>
      </c>
      <c r="I100" s="6" t="str">
        <f aca="false">IF($B100&lt;&gt;"B","",IFERROR(IF($D100=0,0,FLOOR(MAX(0,INDEX('A Loose'!$K$5:$K$104,MATCH($C100,'A Loose'!$A$5:$A$104,0)))/$D100,1)),0))</f>
        <v/>
      </c>
      <c r="J100" s="6" t="str">
        <f aca="false">IF($B100&lt;&gt;"C","",IFERROR(IF($E100="B",IF($D100=0,0,FLOOR(MAX(0,INDEX('B Made'!$F$5:$F$104,MATCH($C100,'B Made'!$A$5:$A$104,0)))/$D100,1)),IF($O100=0,0,FLOOR(MAX(0,INDEX('A Loose'!$K$5:$K$104,MATCH($C100,'A Loose'!$A$5:$A$104,0)))/$O100,1))),0))</f>
        <v/>
      </c>
      <c r="K100" s="6" t="str">
        <f aca="false">IF($B100&lt;&gt;"C","",IFERROR(IF($E100="B",IF($D100=0,0,FLOOR(MAX(0,INDEX('B Made'!$I$5:$I$104,MATCH($C100,'B Made'!$A$5:$A$104,0)))/$D100,1)),IF($O100=0,0,FLOOR(MAX(0,INDEX('A Loose'!$K$5:$K$104,MATCH($C100,'A Loose'!$A$5:$A$104,0)))/$O100,1))),0))</f>
        <v/>
      </c>
      <c r="L100" s="6" t="str">
        <f aca="false">IF($B100&lt;&gt;"C","",$A100&amp;"|"&amp;$K100)</f>
        <v/>
      </c>
      <c r="M100" s="6" t="str">
        <f aca="false">IF($B100&lt;&gt;"B","",$A100&amp;"|"&amp;$I100)</f>
        <v/>
      </c>
      <c r="N100" s="6" t="str">
        <f aca="false">IF($C100="","",COUNTIFS(Recipes!$C$5:$C$104,$C100,Recipes!$B$5:$B$104,"C"))</f>
        <v/>
      </c>
      <c r="O100" s="6" t="str">
        <f aca="false">IF(OR($B100&lt;&gt;"C",$E100&lt;&gt;"A"),"",$D100+SUMPRODUCT((Recipes!$A$5:$A$104=$A100)*(Recipes!$B$5:$B$104="C")*(Recipes!$E$5:$E$104="B")*Recipes!$D$5:$D$104*SUMIFS(Recipes!$D$5:$D$104,Recipes!$A$5:$A$104,Recipes!$C$5:$C$104,Recipes!$B$5:$B$104,"B",Recipes!$C$5:$C$104,$C100)))</f>
        <v/>
      </c>
    </row>
    <row r="101" customFormat="false" ht="15" hidden="false" customHeight="false" outlineLevel="0" collapsed="false">
      <c r="A101" s="4"/>
      <c r="B101" s="4"/>
      <c r="C101" s="4"/>
      <c r="D101" s="4"/>
      <c r="E101" s="5" t="str">
        <f aca="false">IF($C101="","",IF(ISNUMBER(MATCH($C101,'A Loose'!$A$5:$A$104,0)),"A",IF(ISNUMBER(MATCH($C101,'B Made'!$A$5:$A$104,0)),"B","?? unknown code")))</f>
        <v/>
      </c>
      <c r="F101" s="5" t="str">
        <f aca="false">IF($C101="","",IFERROR(IF($E101="A",INDEX('A Loose'!$B$5:$B$104,MATCH($C101,'A Loose'!$A$5:$A$104,0)),IF($E101="B",INDEX('B Made'!$B$5:$B$104,MATCH($C101,'B Made'!$A$5:$A$104,0)),"")),""))</f>
        <v/>
      </c>
      <c r="G101" s="6" t="str">
        <f aca="false">IF($A101="","",IF($B101="B",IFERROR(INDEX('B Made'!$G$5:$G$104,MATCH($A101,'B Made'!$A$5:$A$104,0)),0),IF($B101="C",IFERROR(INDEX('C Kits'!$E$5:$E$104,MATCH($A101,'C Kits'!$A$5:$A$104,0)),0),0)))</f>
        <v/>
      </c>
      <c r="H101" s="5" t="str">
        <f aca="false">IF($A101="","",$D101*$G101)</f>
        <v/>
      </c>
      <c r="I101" s="6" t="str">
        <f aca="false">IF($B101&lt;&gt;"B","",IFERROR(IF($D101=0,0,FLOOR(MAX(0,INDEX('A Loose'!$K$5:$K$104,MATCH($C101,'A Loose'!$A$5:$A$104,0)))/$D101,1)),0))</f>
        <v/>
      </c>
      <c r="J101" s="6" t="str">
        <f aca="false">IF($B101&lt;&gt;"C","",IFERROR(IF($E101="B",IF($D101=0,0,FLOOR(MAX(0,INDEX('B Made'!$F$5:$F$104,MATCH($C101,'B Made'!$A$5:$A$104,0)))/$D101,1)),IF($O101=0,0,FLOOR(MAX(0,INDEX('A Loose'!$K$5:$K$104,MATCH($C101,'A Loose'!$A$5:$A$104,0)))/$O101,1))),0))</f>
        <v/>
      </c>
      <c r="K101" s="6" t="str">
        <f aca="false">IF($B101&lt;&gt;"C","",IFERROR(IF($E101="B",IF($D101=0,0,FLOOR(MAX(0,INDEX('B Made'!$I$5:$I$104,MATCH($C101,'B Made'!$A$5:$A$104,0)))/$D101,1)),IF($O101=0,0,FLOOR(MAX(0,INDEX('A Loose'!$K$5:$K$104,MATCH($C101,'A Loose'!$A$5:$A$104,0)))/$O101,1))),0))</f>
        <v/>
      </c>
      <c r="L101" s="6" t="str">
        <f aca="false">IF($B101&lt;&gt;"C","",$A101&amp;"|"&amp;$K101)</f>
        <v/>
      </c>
      <c r="M101" s="6" t="str">
        <f aca="false">IF($B101&lt;&gt;"B","",$A101&amp;"|"&amp;$I101)</f>
        <v/>
      </c>
      <c r="N101" s="6" t="str">
        <f aca="false">IF($C101="","",COUNTIFS(Recipes!$C$5:$C$104,$C101,Recipes!$B$5:$B$104,"C"))</f>
        <v/>
      </c>
      <c r="O101" s="6" t="str">
        <f aca="false">IF(OR($B101&lt;&gt;"C",$E101&lt;&gt;"A"),"",$D101+SUMPRODUCT((Recipes!$A$5:$A$104=$A101)*(Recipes!$B$5:$B$104="C")*(Recipes!$E$5:$E$104="B")*Recipes!$D$5:$D$104*SUMIFS(Recipes!$D$5:$D$104,Recipes!$A$5:$A$104,Recipes!$C$5:$C$104,Recipes!$B$5:$B$104,"B",Recipes!$C$5:$C$104,$C101)))</f>
        <v/>
      </c>
    </row>
    <row r="102" customFormat="false" ht="15" hidden="false" customHeight="false" outlineLevel="0" collapsed="false">
      <c r="A102" s="4"/>
      <c r="B102" s="4"/>
      <c r="C102" s="4"/>
      <c r="D102" s="4"/>
      <c r="E102" s="5" t="str">
        <f aca="false">IF($C102="","",IF(ISNUMBER(MATCH($C102,'A Loose'!$A$5:$A$104,0)),"A",IF(ISNUMBER(MATCH($C102,'B Made'!$A$5:$A$104,0)),"B","?? unknown code")))</f>
        <v/>
      </c>
      <c r="F102" s="5" t="str">
        <f aca="false">IF($C102="","",IFERROR(IF($E102="A",INDEX('A Loose'!$B$5:$B$104,MATCH($C102,'A Loose'!$A$5:$A$104,0)),IF($E102="B",INDEX('B Made'!$B$5:$B$104,MATCH($C102,'B Made'!$A$5:$A$104,0)),"")),""))</f>
        <v/>
      </c>
      <c r="G102" s="6" t="str">
        <f aca="false">IF($A102="","",IF($B102="B",IFERROR(INDEX('B Made'!$G$5:$G$104,MATCH($A102,'B Made'!$A$5:$A$104,0)),0),IF($B102="C",IFERROR(INDEX('C Kits'!$E$5:$E$104,MATCH($A102,'C Kits'!$A$5:$A$104,0)),0),0)))</f>
        <v/>
      </c>
      <c r="H102" s="5" t="str">
        <f aca="false">IF($A102="","",$D102*$G102)</f>
        <v/>
      </c>
      <c r="I102" s="6" t="str">
        <f aca="false">IF($B102&lt;&gt;"B","",IFERROR(IF($D102=0,0,FLOOR(MAX(0,INDEX('A Loose'!$K$5:$K$104,MATCH($C102,'A Loose'!$A$5:$A$104,0)))/$D102,1)),0))</f>
        <v/>
      </c>
      <c r="J102" s="6" t="str">
        <f aca="false">IF($B102&lt;&gt;"C","",IFERROR(IF($E102="B",IF($D102=0,0,FLOOR(MAX(0,INDEX('B Made'!$F$5:$F$104,MATCH($C102,'B Made'!$A$5:$A$104,0)))/$D102,1)),IF($O102=0,0,FLOOR(MAX(0,INDEX('A Loose'!$K$5:$K$104,MATCH($C102,'A Loose'!$A$5:$A$104,0)))/$O102,1))),0))</f>
        <v/>
      </c>
      <c r="K102" s="6" t="str">
        <f aca="false">IF($B102&lt;&gt;"C","",IFERROR(IF($E102="B",IF($D102=0,0,FLOOR(MAX(0,INDEX('B Made'!$I$5:$I$104,MATCH($C102,'B Made'!$A$5:$A$104,0)))/$D102,1)),IF($O102=0,0,FLOOR(MAX(0,INDEX('A Loose'!$K$5:$K$104,MATCH($C102,'A Loose'!$A$5:$A$104,0)))/$O102,1))),0))</f>
        <v/>
      </c>
      <c r="L102" s="6" t="str">
        <f aca="false">IF($B102&lt;&gt;"C","",$A102&amp;"|"&amp;$K102)</f>
        <v/>
      </c>
      <c r="M102" s="6" t="str">
        <f aca="false">IF($B102&lt;&gt;"B","",$A102&amp;"|"&amp;$I102)</f>
        <v/>
      </c>
      <c r="N102" s="6" t="str">
        <f aca="false">IF($C102="","",COUNTIFS(Recipes!$C$5:$C$104,$C102,Recipes!$B$5:$B$104,"C"))</f>
        <v/>
      </c>
      <c r="O102" s="6" t="str">
        <f aca="false">IF(OR($B102&lt;&gt;"C",$E102&lt;&gt;"A"),"",$D102+SUMPRODUCT((Recipes!$A$5:$A$104=$A102)*(Recipes!$B$5:$B$104="C")*(Recipes!$E$5:$E$104="B")*Recipes!$D$5:$D$104*SUMIFS(Recipes!$D$5:$D$104,Recipes!$A$5:$A$104,Recipes!$C$5:$C$104,Recipes!$B$5:$B$104,"B",Recipes!$C$5:$C$104,$C102)))</f>
        <v/>
      </c>
    </row>
    <row r="103" customFormat="false" ht="15" hidden="false" customHeight="false" outlineLevel="0" collapsed="false">
      <c r="A103" s="4"/>
      <c r="B103" s="4"/>
      <c r="C103" s="4"/>
      <c r="D103" s="4"/>
      <c r="E103" s="5" t="str">
        <f aca="false">IF($C103="","",IF(ISNUMBER(MATCH($C103,'A Loose'!$A$5:$A$104,0)),"A",IF(ISNUMBER(MATCH($C103,'B Made'!$A$5:$A$104,0)),"B","?? unknown code")))</f>
        <v/>
      </c>
      <c r="F103" s="5" t="str">
        <f aca="false">IF($C103="","",IFERROR(IF($E103="A",INDEX('A Loose'!$B$5:$B$104,MATCH($C103,'A Loose'!$A$5:$A$104,0)),IF($E103="B",INDEX('B Made'!$B$5:$B$104,MATCH($C103,'B Made'!$A$5:$A$104,0)),"")),""))</f>
        <v/>
      </c>
      <c r="G103" s="6" t="str">
        <f aca="false">IF($A103="","",IF($B103="B",IFERROR(INDEX('B Made'!$G$5:$G$104,MATCH($A103,'B Made'!$A$5:$A$104,0)),0),IF($B103="C",IFERROR(INDEX('C Kits'!$E$5:$E$104,MATCH($A103,'C Kits'!$A$5:$A$104,0)),0),0)))</f>
        <v/>
      </c>
      <c r="H103" s="5" t="str">
        <f aca="false">IF($A103="","",$D103*$G103)</f>
        <v/>
      </c>
      <c r="I103" s="6" t="str">
        <f aca="false">IF($B103&lt;&gt;"B","",IFERROR(IF($D103=0,0,FLOOR(MAX(0,INDEX('A Loose'!$K$5:$K$104,MATCH($C103,'A Loose'!$A$5:$A$104,0)))/$D103,1)),0))</f>
        <v/>
      </c>
      <c r="J103" s="6" t="str">
        <f aca="false">IF($B103&lt;&gt;"C","",IFERROR(IF($E103="B",IF($D103=0,0,FLOOR(MAX(0,INDEX('B Made'!$F$5:$F$104,MATCH($C103,'B Made'!$A$5:$A$104,0)))/$D103,1)),IF($O103=0,0,FLOOR(MAX(0,INDEX('A Loose'!$K$5:$K$104,MATCH($C103,'A Loose'!$A$5:$A$104,0)))/$O103,1))),0))</f>
        <v/>
      </c>
      <c r="K103" s="6" t="str">
        <f aca="false">IF($B103&lt;&gt;"C","",IFERROR(IF($E103="B",IF($D103=0,0,FLOOR(MAX(0,INDEX('B Made'!$I$5:$I$104,MATCH($C103,'B Made'!$A$5:$A$104,0)))/$D103,1)),IF($O103=0,0,FLOOR(MAX(0,INDEX('A Loose'!$K$5:$K$104,MATCH($C103,'A Loose'!$A$5:$A$104,0)))/$O103,1))),0))</f>
        <v/>
      </c>
      <c r="L103" s="6" t="str">
        <f aca="false">IF($B103&lt;&gt;"C","",$A103&amp;"|"&amp;$K103)</f>
        <v/>
      </c>
      <c r="M103" s="6" t="str">
        <f aca="false">IF($B103&lt;&gt;"B","",$A103&amp;"|"&amp;$I103)</f>
        <v/>
      </c>
      <c r="N103" s="6" t="str">
        <f aca="false">IF($C103="","",COUNTIFS(Recipes!$C$5:$C$104,$C103,Recipes!$B$5:$B$104,"C"))</f>
        <v/>
      </c>
      <c r="O103" s="6" t="str">
        <f aca="false">IF(OR($B103&lt;&gt;"C",$E103&lt;&gt;"A"),"",$D103+SUMPRODUCT((Recipes!$A$5:$A$104=$A103)*(Recipes!$B$5:$B$104="C")*(Recipes!$E$5:$E$104="B")*Recipes!$D$5:$D$104*SUMIFS(Recipes!$D$5:$D$104,Recipes!$A$5:$A$104,Recipes!$C$5:$C$104,Recipes!$B$5:$B$104,"B",Recipes!$C$5:$C$104,$C103)))</f>
        <v/>
      </c>
    </row>
    <row r="104" customFormat="false" ht="15" hidden="false" customHeight="false" outlineLevel="0" collapsed="false">
      <c r="A104" s="4"/>
      <c r="B104" s="4"/>
      <c r="C104" s="4"/>
      <c r="D104" s="4"/>
      <c r="E104" s="5" t="str">
        <f aca="false">IF($C104="","",IF(ISNUMBER(MATCH($C104,'A Loose'!$A$5:$A$104,0)),"A",IF(ISNUMBER(MATCH($C104,'B Made'!$A$5:$A$104,0)),"B","?? unknown code")))</f>
        <v/>
      </c>
      <c r="F104" s="5" t="str">
        <f aca="false">IF($C104="","",IFERROR(IF($E104="A",INDEX('A Loose'!$B$5:$B$104,MATCH($C104,'A Loose'!$A$5:$A$104,0)),IF($E104="B",INDEX('B Made'!$B$5:$B$104,MATCH($C104,'B Made'!$A$5:$A$104,0)),"")),""))</f>
        <v/>
      </c>
      <c r="G104" s="6" t="str">
        <f aca="false">IF($A104="","",IF($B104="B",IFERROR(INDEX('B Made'!$G$5:$G$104,MATCH($A104,'B Made'!$A$5:$A$104,0)),0),IF($B104="C",IFERROR(INDEX('C Kits'!$E$5:$E$104,MATCH($A104,'C Kits'!$A$5:$A$104,0)),0),0)))</f>
        <v/>
      </c>
      <c r="H104" s="5" t="str">
        <f aca="false">IF($A104="","",$D104*$G104)</f>
        <v/>
      </c>
      <c r="I104" s="6" t="str">
        <f aca="false">IF($B104&lt;&gt;"B","",IFERROR(IF($D104=0,0,FLOOR(MAX(0,INDEX('A Loose'!$K$5:$K$104,MATCH($C104,'A Loose'!$A$5:$A$104,0)))/$D104,1)),0))</f>
        <v/>
      </c>
      <c r="J104" s="6" t="str">
        <f aca="false">IF($B104&lt;&gt;"C","",IFERROR(IF($E104="B",IF($D104=0,0,FLOOR(MAX(0,INDEX('B Made'!$F$5:$F$104,MATCH($C104,'B Made'!$A$5:$A$104,0)))/$D104,1)),IF($O104=0,0,FLOOR(MAX(0,INDEX('A Loose'!$K$5:$K$104,MATCH($C104,'A Loose'!$A$5:$A$104,0)))/$O104,1))),0))</f>
        <v/>
      </c>
      <c r="K104" s="6" t="str">
        <f aca="false">IF($B104&lt;&gt;"C","",IFERROR(IF($E104="B",IF($D104=0,0,FLOOR(MAX(0,INDEX('B Made'!$I$5:$I$104,MATCH($C104,'B Made'!$A$5:$A$104,0)))/$D104,1)),IF($O104=0,0,FLOOR(MAX(0,INDEX('A Loose'!$K$5:$K$104,MATCH($C104,'A Loose'!$A$5:$A$104,0)))/$O104,1))),0))</f>
        <v/>
      </c>
      <c r="L104" s="6" t="str">
        <f aca="false">IF($B104&lt;&gt;"C","",$A104&amp;"|"&amp;$K104)</f>
        <v/>
      </c>
      <c r="M104" s="6" t="str">
        <f aca="false">IF($B104&lt;&gt;"B","",$A104&amp;"|"&amp;$I104)</f>
        <v/>
      </c>
      <c r="N104" s="6" t="str">
        <f aca="false">IF($C104="","",COUNTIFS(Recipes!$C$5:$C$104,$C104,Recipes!$B$5:$B$104,"C"))</f>
        <v/>
      </c>
      <c r="O104" s="6" t="str">
        <f aca="false">IF(OR($B104&lt;&gt;"C",$E104&lt;&gt;"A"),"",$D104+SUMPRODUCT((Recipes!$A$5:$A$104=$A104)*(Recipes!$B$5:$B$104="C")*(Recipes!$E$5:$E$104="B")*Recipes!$D$5:$D$104*SUMIFS(Recipes!$D$5:$D$104,Recipes!$A$5:$A$104,Recipes!$C$5:$C$104,Recipes!$B$5:$B$104,"B",Recipes!$C$5:$C$104,$C104)))</f>
        <v/>
      </c>
    </row>
  </sheetData>
  <dataValidations count="1">
    <dataValidation allowBlank="true" errorStyle="stop" operator="between" showDropDown="false" showErrorMessage="false" showInputMessage="false" sqref="B5:B104" type="list">
      <formula1>"B,C"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22"/>
    <col collapsed="false" customWidth="true" hidden="false" outlineLevel="0" max="4" min="4" style="0" width="10"/>
    <col collapsed="false" customWidth="true" hidden="false" outlineLevel="0" max="5" min="5" style="0" width="50"/>
  </cols>
  <sheetData>
    <row r="1" customFormat="false" ht="16.15" hidden="false" customHeight="false" outlineLevel="0" collapsed="false">
      <c r="A1" s="1" t="s">
        <v>80</v>
      </c>
    </row>
    <row r="2" customFormat="false" ht="25.5" hidden="false" customHeight="true" outlineLevel="0" collapsed="false">
      <c r="A2" s="2" t="s">
        <v>81</v>
      </c>
    </row>
    <row r="4" customFormat="false" ht="33.75" hidden="false" customHeight="true" outlineLevel="0" collapsed="false">
      <c r="A4" s="3" t="s">
        <v>82</v>
      </c>
      <c r="B4" s="3" t="s">
        <v>83</v>
      </c>
      <c r="C4" s="3" t="s">
        <v>2</v>
      </c>
      <c r="D4" s="3" t="s">
        <v>84</v>
      </c>
      <c r="E4" s="3" t="s">
        <v>85</v>
      </c>
    </row>
    <row r="5" customFormat="false" ht="15" hidden="false" customHeight="false" outlineLevel="0" collapsed="false">
      <c r="A5" s="8" t="n">
        <v>46235</v>
      </c>
      <c r="B5" s="4" t="s">
        <v>86</v>
      </c>
      <c r="C5" s="4" t="s">
        <v>14</v>
      </c>
      <c r="D5" s="4" t="n">
        <v>500</v>
      </c>
      <c r="E5" s="4" t="s">
        <v>87</v>
      </c>
    </row>
    <row r="6" customFormat="false" ht="15" hidden="false" customHeight="false" outlineLevel="0" collapsed="false">
      <c r="A6" s="8" t="n">
        <v>46239</v>
      </c>
      <c r="B6" s="4" t="s">
        <v>88</v>
      </c>
      <c r="C6" s="4" t="s">
        <v>37</v>
      </c>
      <c r="D6" s="4" t="n">
        <v>20</v>
      </c>
      <c r="E6" s="4" t="s">
        <v>89</v>
      </c>
    </row>
    <row r="7" customFormat="false" ht="15" hidden="false" customHeight="false" outlineLevel="0" collapsed="false">
      <c r="A7" s="8" t="n">
        <v>46254</v>
      </c>
      <c r="B7" s="4" t="s">
        <v>90</v>
      </c>
      <c r="C7" s="4" t="s">
        <v>54</v>
      </c>
      <c r="D7" s="4" t="n">
        <v>12</v>
      </c>
      <c r="E7" s="4" t="s">
        <v>91</v>
      </c>
    </row>
    <row r="8" customFormat="false" ht="15" hidden="false" customHeight="false" outlineLevel="0" collapsed="false">
      <c r="A8" s="8" t="n">
        <v>46256</v>
      </c>
      <c r="B8" s="4" t="s">
        <v>90</v>
      </c>
      <c r="C8" s="4" t="s">
        <v>58</v>
      </c>
      <c r="D8" s="4" t="n">
        <v>5</v>
      </c>
      <c r="E8" s="4" t="s">
        <v>91</v>
      </c>
    </row>
    <row r="9" customFormat="false" ht="15" hidden="false" customHeight="false" outlineLevel="0" collapsed="false">
      <c r="A9" s="8" t="n">
        <v>46259</v>
      </c>
      <c r="B9" s="4" t="s">
        <v>92</v>
      </c>
      <c r="C9" s="4" t="s">
        <v>14</v>
      </c>
      <c r="D9" s="4" t="n">
        <v>-20</v>
      </c>
      <c r="E9" s="4" t="s">
        <v>93</v>
      </c>
    </row>
    <row r="10" customFormat="false" ht="15" hidden="false" customHeight="false" outlineLevel="0" collapsed="false">
      <c r="A10" s="8"/>
      <c r="B10" s="4"/>
      <c r="C10" s="4"/>
      <c r="D10" s="4"/>
      <c r="E10" s="4"/>
    </row>
    <row r="11" customFormat="false" ht="15" hidden="false" customHeight="false" outlineLevel="0" collapsed="false">
      <c r="A11" s="8"/>
      <c r="B11" s="4"/>
      <c r="C11" s="4"/>
      <c r="D11" s="4"/>
      <c r="E11" s="4"/>
    </row>
    <row r="12" customFormat="false" ht="15" hidden="false" customHeight="false" outlineLevel="0" collapsed="false">
      <c r="A12" s="8"/>
      <c r="B12" s="4"/>
      <c r="C12" s="4"/>
      <c r="D12" s="4"/>
      <c r="E12" s="4"/>
    </row>
    <row r="13" customFormat="false" ht="15" hidden="false" customHeight="false" outlineLevel="0" collapsed="false">
      <c r="A13" s="8"/>
      <c r="B13" s="4"/>
      <c r="C13" s="4"/>
      <c r="D13" s="4"/>
      <c r="E13" s="4"/>
    </row>
    <row r="14" customFormat="false" ht="15" hidden="false" customHeight="false" outlineLevel="0" collapsed="false">
      <c r="A14" s="8"/>
      <c r="B14" s="4"/>
      <c r="C14" s="4"/>
      <c r="D14" s="4"/>
      <c r="E14" s="4"/>
    </row>
    <row r="15" customFormat="false" ht="15" hidden="false" customHeight="false" outlineLevel="0" collapsed="false">
      <c r="A15" s="8"/>
      <c r="B15" s="4"/>
      <c r="C15" s="4"/>
      <c r="D15" s="4"/>
      <c r="E15" s="4"/>
    </row>
    <row r="16" customFormat="false" ht="15" hidden="false" customHeight="false" outlineLevel="0" collapsed="false">
      <c r="A16" s="8"/>
      <c r="B16" s="4"/>
      <c r="C16" s="4"/>
      <c r="D16" s="4"/>
      <c r="E16" s="4"/>
    </row>
    <row r="17" customFormat="false" ht="15" hidden="false" customHeight="false" outlineLevel="0" collapsed="false">
      <c r="A17" s="8"/>
      <c r="B17" s="4"/>
      <c r="C17" s="4"/>
      <c r="D17" s="4"/>
      <c r="E17" s="4"/>
    </row>
    <row r="18" customFormat="false" ht="15" hidden="false" customHeight="false" outlineLevel="0" collapsed="false">
      <c r="A18" s="8"/>
      <c r="B18" s="4"/>
      <c r="C18" s="4"/>
      <c r="D18" s="4"/>
      <c r="E18" s="4"/>
    </row>
    <row r="19" customFormat="false" ht="15" hidden="false" customHeight="false" outlineLevel="0" collapsed="false">
      <c r="A19" s="8"/>
      <c r="B19" s="4"/>
      <c r="C19" s="4"/>
      <c r="D19" s="4"/>
      <c r="E19" s="4"/>
    </row>
    <row r="20" customFormat="false" ht="15" hidden="false" customHeight="false" outlineLevel="0" collapsed="false">
      <c r="A20" s="8"/>
      <c r="B20" s="4"/>
      <c r="C20" s="4"/>
      <c r="D20" s="4"/>
      <c r="E20" s="4"/>
    </row>
    <row r="21" customFormat="false" ht="15" hidden="false" customHeight="false" outlineLevel="0" collapsed="false">
      <c r="A21" s="8"/>
      <c r="B21" s="4"/>
      <c r="C21" s="4"/>
      <c r="D21" s="4"/>
      <c r="E21" s="4"/>
    </row>
    <row r="22" customFormat="false" ht="15" hidden="false" customHeight="false" outlineLevel="0" collapsed="false">
      <c r="A22" s="8"/>
      <c r="B22" s="4"/>
      <c r="C22" s="4"/>
      <c r="D22" s="4"/>
      <c r="E22" s="4"/>
    </row>
    <row r="23" customFormat="false" ht="15" hidden="false" customHeight="false" outlineLevel="0" collapsed="false">
      <c r="A23" s="8"/>
      <c r="B23" s="4"/>
      <c r="C23" s="4"/>
      <c r="D23" s="4"/>
      <c r="E23" s="4"/>
    </row>
    <row r="24" customFormat="false" ht="15" hidden="false" customHeight="false" outlineLevel="0" collapsed="false">
      <c r="A24" s="8"/>
      <c r="B24" s="4"/>
      <c r="C24" s="4"/>
      <c r="D24" s="4"/>
      <c r="E24" s="4"/>
    </row>
    <row r="25" customFormat="false" ht="15" hidden="false" customHeight="false" outlineLevel="0" collapsed="false">
      <c r="A25" s="8"/>
      <c r="B25" s="4"/>
      <c r="C25" s="4"/>
      <c r="D25" s="4"/>
      <c r="E25" s="4"/>
    </row>
    <row r="26" customFormat="false" ht="15" hidden="false" customHeight="false" outlineLevel="0" collapsed="false">
      <c r="A26" s="8"/>
      <c r="B26" s="4"/>
      <c r="C26" s="4"/>
      <c r="D26" s="4"/>
      <c r="E26" s="4"/>
    </row>
    <row r="27" customFormat="false" ht="15" hidden="false" customHeight="false" outlineLevel="0" collapsed="false">
      <c r="A27" s="8"/>
      <c r="B27" s="4"/>
      <c r="C27" s="4"/>
      <c r="D27" s="4"/>
      <c r="E27" s="4"/>
    </row>
    <row r="28" customFormat="false" ht="15" hidden="false" customHeight="false" outlineLevel="0" collapsed="false">
      <c r="A28" s="8"/>
      <c r="B28" s="4"/>
      <c r="C28" s="4"/>
      <c r="D28" s="4"/>
      <c r="E28" s="4"/>
    </row>
    <row r="29" customFormat="false" ht="15" hidden="false" customHeight="false" outlineLevel="0" collapsed="false">
      <c r="A29" s="8"/>
      <c r="B29" s="4"/>
      <c r="C29" s="4"/>
      <c r="D29" s="4"/>
      <c r="E29" s="4"/>
    </row>
    <row r="30" customFormat="false" ht="15" hidden="false" customHeight="false" outlineLevel="0" collapsed="false">
      <c r="A30" s="8"/>
      <c r="B30" s="4"/>
      <c r="C30" s="4"/>
      <c r="D30" s="4"/>
      <c r="E30" s="4"/>
    </row>
    <row r="31" customFormat="false" ht="15" hidden="false" customHeight="false" outlineLevel="0" collapsed="false">
      <c r="A31" s="8"/>
      <c r="B31" s="4"/>
      <c r="C31" s="4"/>
      <c r="D31" s="4"/>
      <c r="E31" s="4"/>
    </row>
    <row r="32" customFormat="false" ht="15" hidden="false" customHeight="false" outlineLevel="0" collapsed="false">
      <c r="A32" s="8"/>
      <c r="B32" s="4"/>
      <c r="C32" s="4"/>
      <c r="D32" s="4"/>
      <c r="E32" s="4"/>
    </row>
    <row r="33" customFormat="false" ht="15" hidden="false" customHeight="false" outlineLevel="0" collapsed="false">
      <c r="A33" s="8"/>
      <c r="B33" s="4"/>
      <c r="C33" s="4"/>
      <c r="D33" s="4"/>
      <c r="E33" s="4"/>
    </row>
    <row r="34" customFormat="false" ht="15" hidden="false" customHeight="false" outlineLevel="0" collapsed="false">
      <c r="A34" s="8"/>
      <c r="B34" s="4"/>
      <c r="C34" s="4"/>
      <c r="D34" s="4"/>
      <c r="E34" s="4"/>
    </row>
    <row r="35" customFormat="false" ht="15" hidden="false" customHeight="false" outlineLevel="0" collapsed="false">
      <c r="A35" s="8"/>
      <c r="B35" s="4"/>
      <c r="C35" s="4"/>
      <c r="D35" s="4"/>
      <c r="E35" s="4"/>
    </row>
    <row r="36" customFormat="false" ht="15" hidden="false" customHeight="false" outlineLevel="0" collapsed="false">
      <c r="A36" s="8"/>
      <c r="B36" s="4"/>
      <c r="C36" s="4"/>
      <c r="D36" s="4"/>
      <c r="E36" s="4"/>
    </row>
    <row r="37" customFormat="false" ht="15" hidden="false" customHeight="false" outlineLevel="0" collapsed="false">
      <c r="A37" s="8"/>
      <c r="B37" s="4"/>
      <c r="C37" s="4"/>
      <c r="D37" s="4"/>
      <c r="E37" s="4"/>
    </row>
    <row r="38" customFormat="false" ht="15" hidden="false" customHeight="false" outlineLevel="0" collapsed="false">
      <c r="A38" s="8"/>
      <c r="B38" s="4"/>
      <c r="C38" s="4"/>
      <c r="D38" s="4"/>
      <c r="E38" s="4"/>
    </row>
    <row r="39" customFormat="false" ht="15" hidden="false" customHeight="false" outlineLevel="0" collapsed="false">
      <c r="A39" s="8"/>
      <c r="B39" s="4"/>
      <c r="C39" s="4"/>
      <c r="D39" s="4"/>
      <c r="E39" s="4"/>
    </row>
    <row r="40" customFormat="false" ht="15" hidden="false" customHeight="false" outlineLevel="0" collapsed="false">
      <c r="A40" s="8"/>
      <c r="B40" s="4"/>
      <c r="C40" s="4"/>
      <c r="D40" s="4"/>
      <c r="E40" s="4"/>
    </row>
    <row r="41" customFormat="false" ht="15" hidden="false" customHeight="false" outlineLevel="0" collapsed="false">
      <c r="A41" s="8"/>
      <c r="B41" s="4"/>
      <c r="C41" s="4"/>
      <c r="D41" s="4"/>
      <c r="E41" s="4"/>
    </row>
    <row r="42" customFormat="false" ht="15" hidden="false" customHeight="false" outlineLevel="0" collapsed="false">
      <c r="A42" s="8"/>
      <c r="B42" s="4"/>
      <c r="C42" s="4"/>
      <c r="D42" s="4"/>
      <c r="E42" s="4"/>
    </row>
    <row r="43" customFormat="false" ht="15" hidden="false" customHeight="false" outlineLevel="0" collapsed="false">
      <c r="A43" s="8"/>
      <c r="B43" s="4"/>
      <c r="C43" s="4"/>
      <c r="D43" s="4"/>
      <c r="E43" s="4"/>
    </row>
    <row r="44" customFormat="false" ht="15" hidden="false" customHeight="false" outlineLevel="0" collapsed="false">
      <c r="A44" s="8"/>
      <c r="B44" s="4"/>
      <c r="C44" s="4"/>
      <c r="D44" s="4"/>
      <c r="E44" s="4"/>
    </row>
    <row r="45" customFormat="false" ht="15" hidden="false" customHeight="false" outlineLevel="0" collapsed="false">
      <c r="A45" s="8"/>
      <c r="B45" s="4"/>
      <c r="C45" s="4"/>
      <c r="D45" s="4"/>
      <c r="E45" s="4"/>
    </row>
    <row r="46" customFormat="false" ht="15" hidden="false" customHeight="false" outlineLevel="0" collapsed="false">
      <c r="A46" s="8"/>
      <c r="B46" s="4"/>
      <c r="C46" s="4"/>
      <c r="D46" s="4"/>
      <c r="E46" s="4"/>
    </row>
    <row r="47" customFormat="false" ht="15" hidden="false" customHeight="false" outlineLevel="0" collapsed="false">
      <c r="A47" s="8"/>
      <c r="B47" s="4"/>
      <c r="C47" s="4"/>
      <c r="D47" s="4"/>
      <c r="E47" s="4"/>
    </row>
    <row r="48" customFormat="false" ht="15" hidden="false" customHeight="false" outlineLevel="0" collapsed="false">
      <c r="A48" s="8"/>
      <c r="B48" s="4"/>
      <c r="C48" s="4"/>
      <c r="D48" s="4"/>
      <c r="E48" s="4"/>
    </row>
    <row r="49" customFormat="false" ht="15" hidden="false" customHeight="false" outlineLevel="0" collapsed="false">
      <c r="A49" s="8"/>
      <c r="B49" s="4"/>
      <c r="C49" s="4"/>
      <c r="D49" s="4"/>
      <c r="E49" s="4"/>
    </row>
    <row r="50" customFormat="false" ht="15" hidden="false" customHeight="false" outlineLevel="0" collapsed="false">
      <c r="A50" s="8"/>
      <c r="B50" s="4"/>
      <c r="C50" s="4"/>
      <c r="D50" s="4"/>
      <c r="E50" s="4"/>
    </row>
    <row r="51" customFormat="false" ht="15" hidden="false" customHeight="false" outlineLevel="0" collapsed="false">
      <c r="A51" s="8"/>
      <c r="B51" s="4"/>
      <c r="C51" s="4"/>
      <c r="D51" s="4"/>
      <c r="E51" s="4"/>
    </row>
    <row r="52" customFormat="false" ht="15" hidden="false" customHeight="false" outlineLevel="0" collapsed="false">
      <c r="A52" s="8"/>
      <c r="B52" s="4"/>
      <c r="C52" s="4"/>
      <c r="D52" s="4"/>
      <c r="E52" s="4"/>
    </row>
    <row r="53" customFormat="false" ht="15" hidden="false" customHeight="false" outlineLevel="0" collapsed="false">
      <c r="A53" s="8"/>
      <c r="B53" s="4"/>
      <c r="C53" s="4"/>
      <c r="D53" s="4"/>
      <c r="E53" s="4"/>
    </row>
    <row r="54" customFormat="false" ht="15" hidden="false" customHeight="false" outlineLevel="0" collapsed="false">
      <c r="A54" s="8"/>
      <c r="B54" s="4"/>
      <c r="C54" s="4"/>
      <c r="D54" s="4"/>
      <c r="E54" s="4"/>
    </row>
    <row r="55" customFormat="false" ht="15" hidden="false" customHeight="false" outlineLevel="0" collapsed="false">
      <c r="A55" s="8"/>
      <c r="B55" s="4"/>
      <c r="C55" s="4"/>
      <c r="D55" s="4"/>
      <c r="E55" s="4"/>
    </row>
    <row r="56" customFormat="false" ht="15" hidden="false" customHeight="false" outlineLevel="0" collapsed="false">
      <c r="A56" s="8"/>
      <c r="B56" s="4"/>
      <c r="C56" s="4"/>
      <c r="D56" s="4"/>
      <c r="E56" s="4"/>
    </row>
    <row r="57" customFormat="false" ht="15" hidden="false" customHeight="false" outlineLevel="0" collapsed="false">
      <c r="A57" s="8"/>
      <c r="B57" s="4"/>
      <c r="C57" s="4"/>
      <c r="D57" s="4"/>
      <c r="E57" s="4"/>
    </row>
    <row r="58" customFormat="false" ht="15" hidden="false" customHeight="false" outlineLevel="0" collapsed="false">
      <c r="A58" s="8"/>
      <c r="B58" s="4"/>
      <c r="C58" s="4"/>
      <c r="D58" s="4"/>
      <c r="E58" s="4"/>
    </row>
    <row r="59" customFormat="false" ht="15" hidden="false" customHeight="false" outlineLevel="0" collapsed="false">
      <c r="A59" s="8"/>
      <c r="B59" s="4"/>
      <c r="C59" s="4"/>
      <c r="D59" s="4"/>
      <c r="E59" s="4"/>
    </row>
    <row r="60" customFormat="false" ht="15" hidden="false" customHeight="false" outlineLevel="0" collapsed="false">
      <c r="A60" s="8"/>
      <c r="B60" s="4"/>
      <c r="C60" s="4"/>
      <c r="D60" s="4"/>
      <c r="E60" s="4"/>
    </row>
    <row r="61" customFormat="false" ht="15" hidden="false" customHeight="false" outlineLevel="0" collapsed="false">
      <c r="A61" s="8"/>
      <c r="B61" s="4"/>
      <c r="C61" s="4"/>
      <c r="D61" s="4"/>
      <c r="E61" s="4"/>
    </row>
    <row r="62" customFormat="false" ht="15" hidden="false" customHeight="false" outlineLevel="0" collapsed="false">
      <c r="A62" s="8"/>
      <c r="B62" s="4"/>
      <c r="C62" s="4"/>
      <c r="D62" s="4"/>
      <c r="E62" s="4"/>
    </row>
    <row r="63" customFormat="false" ht="15" hidden="false" customHeight="false" outlineLevel="0" collapsed="false">
      <c r="A63" s="8"/>
      <c r="B63" s="4"/>
      <c r="C63" s="4"/>
      <c r="D63" s="4"/>
      <c r="E63" s="4"/>
    </row>
    <row r="64" customFormat="false" ht="15" hidden="false" customHeight="false" outlineLevel="0" collapsed="false">
      <c r="A64" s="8"/>
      <c r="B64" s="4"/>
      <c r="C64" s="4"/>
      <c r="D64" s="4"/>
      <c r="E64" s="4"/>
    </row>
    <row r="65" customFormat="false" ht="15" hidden="false" customHeight="false" outlineLevel="0" collapsed="false">
      <c r="A65" s="8"/>
      <c r="B65" s="4"/>
      <c r="C65" s="4"/>
      <c r="D65" s="4"/>
      <c r="E65" s="4"/>
    </row>
    <row r="66" customFormat="false" ht="15" hidden="false" customHeight="false" outlineLevel="0" collapsed="false">
      <c r="A66" s="8"/>
      <c r="B66" s="4"/>
      <c r="C66" s="4"/>
      <c r="D66" s="4"/>
      <c r="E66" s="4"/>
    </row>
    <row r="67" customFormat="false" ht="15" hidden="false" customHeight="false" outlineLevel="0" collapsed="false">
      <c r="A67" s="8"/>
      <c r="B67" s="4"/>
      <c r="C67" s="4"/>
      <c r="D67" s="4"/>
      <c r="E67" s="4"/>
    </row>
    <row r="68" customFormat="false" ht="15" hidden="false" customHeight="false" outlineLevel="0" collapsed="false">
      <c r="A68" s="8"/>
      <c r="B68" s="4"/>
      <c r="C68" s="4"/>
      <c r="D68" s="4"/>
      <c r="E68" s="4"/>
    </row>
    <row r="69" customFormat="false" ht="15" hidden="false" customHeight="false" outlineLevel="0" collapsed="false">
      <c r="A69" s="8"/>
      <c r="B69" s="4"/>
      <c r="C69" s="4"/>
      <c r="D69" s="4"/>
      <c r="E69" s="4"/>
    </row>
    <row r="70" customFormat="false" ht="15" hidden="false" customHeight="false" outlineLevel="0" collapsed="false">
      <c r="A70" s="8"/>
      <c r="B70" s="4"/>
      <c r="C70" s="4"/>
      <c r="D70" s="4"/>
      <c r="E70" s="4"/>
    </row>
    <row r="71" customFormat="false" ht="15" hidden="false" customHeight="false" outlineLevel="0" collapsed="false">
      <c r="A71" s="8"/>
      <c r="B71" s="4"/>
      <c r="C71" s="4"/>
      <c r="D71" s="4"/>
      <c r="E71" s="4"/>
    </row>
    <row r="72" customFormat="false" ht="15" hidden="false" customHeight="false" outlineLevel="0" collapsed="false">
      <c r="A72" s="8"/>
      <c r="B72" s="4"/>
      <c r="C72" s="4"/>
      <c r="D72" s="4"/>
      <c r="E72" s="4"/>
    </row>
    <row r="73" customFormat="false" ht="15" hidden="false" customHeight="false" outlineLevel="0" collapsed="false">
      <c r="A73" s="8"/>
      <c r="B73" s="4"/>
      <c r="C73" s="4"/>
      <c r="D73" s="4"/>
      <c r="E73" s="4"/>
    </row>
    <row r="74" customFormat="false" ht="15" hidden="false" customHeight="false" outlineLevel="0" collapsed="false">
      <c r="A74" s="8"/>
      <c r="B74" s="4"/>
      <c r="C74" s="4"/>
      <c r="D74" s="4"/>
      <c r="E74" s="4"/>
    </row>
    <row r="75" customFormat="false" ht="15" hidden="false" customHeight="false" outlineLevel="0" collapsed="false">
      <c r="A75" s="8"/>
      <c r="B75" s="4"/>
      <c r="C75" s="4"/>
      <c r="D75" s="4"/>
      <c r="E75" s="4"/>
    </row>
    <row r="76" customFormat="false" ht="15" hidden="false" customHeight="false" outlineLevel="0" collapsed="false">
      <c r="A76" s="8"/>
      <c r="B76" s="4"/>
      <c r="C76" s="4"/>
      <c r="D76" s="4"/>
      <c r="E76" s="4"/>
    </row>
    <row r="77" customFormat="false" ht="15" hidden="false" customHeight="false" outlineLevel="0" collapsed="false">
      <c r="A77" s="8"/>
      <c r="B77" s="4"/>
      <c r="C77" s="4"/>
      <c r="D77" s="4"/>
      <c r="E77" s="4"/>
    </row>
    <row r="78" customFormat="false" ht="15" hidden="false" customHeight="false" outlineLevel="0" collapsed="false">
      <c r="A78" s="8"/>
      <c r="B78" s="4"/>
      <c r="C78" s="4"/>
      <c r="D78" s="4"/>
      <c r="E78" s="4"/>
    </row>
    <row r="79" customFormat="false" ht="15" hidden="false" customHeight="false" outlineLevel="0" collapsed="false">
      <c r="A79" s="8"/>
      <c r="B79" s="4"/>
      <c r="C79" s="4"/>
      <c r="D79" s="4"/>
      <c r="E79" s="4"/>
    </row>
    <row r="80" customFormat="false" ht="15" hidden="false" customHeight="false" outlineLevel="0" collapsed="false">
      <c r="A80" s="8"/>
      <c r="B80" s="4"/>
      <c r="C80" s="4"/>
      <c r="D80" s="4"/>
      <c r="E80" s="4"/>
    </row>
    <row r="81" customFormat="false" ht="15" hidden="false" customHeight="false" outlineLevel="0" collapsed="false">
      <c r="A81" s="8"/>
      <c r="B81" s="4"/>
      <c r="C81" s="4"/>
      <c r="D81" s="4"/>
      <c r="E81" s="4"/>
    </row>
    <row r="82" customFormat="false" ht="15" hidden="false" customHeight="false" outlineLevel="0" collapsed="false">
      <c r="A82" s="8"/>
      <c r="B82" s="4"/>
      <c r="C82" s="4"/>
      <c r="D82" s="4"/>
      <c r="E82" s="4"/>
    </row>
    <row r="83" customFormat="false" ht="15" hidden="false" customHeight="false" outlineLevel="0" collapsed="false">
      <c r="A83" s="8"/>
      <c r="B83" s="4"/>
      <c r="C83" s="4"/>
      <c r="D83" s="4"/>
      <c r="E83" s="4"/>
    </row>
    <row r="84" customFormat="false" ht="15" hidden="false" customHeight="false" outlineLevel="0" collapsed="false">
      <c r="A84" s="8"/>
      <c r="B84" s="4"/>
      <c r="C84" s="4"/>
      <c r="D84" s="4"/>
      <c r="E84" s="4"/>
    </row>
    <row r="85" customFormat="false" ht="15" hidden="false" customHeight="false" outlineLevel="0" collapsed="false">
      <c r="A85" s="8"/>
      <c r="B85" s="4"/>
      <c r="C85" s="4"/>
      <c r="D85" s="4"/>
      <c r="E85" s="4"/>
    </row>
    <row r="86" customFormat="false" ht="15" hidden="false" customHeight="false" outlineLevel="0" collapsed="false">
      <c r="A86" s="8"/>
      <c r="B86" s="4"/>
      <c r="C86" s="4"/>
      <c r="D86" s="4"/>
      <c r="E86" s="4"/>
    </row>
    <row r="87" customFormat="false" ht="15" hidden="false" customHeight="false" outlineLevel="0" collapsed="false">
      <c r="A87" s="8"/>
      <c r="B87" s="4"/>
      <c r="C87" s="4"/>
      <c r="D87" s="4"/>
      <c r="E87" s="4"/>
    </row>
    <row r="88" customFormat="false" ht="15" hidden="false" customHeight="false" outlineLevel="0" collapsed="false">
      <c r="A88" s="8"/>
      <c r="B88" s="4"/>
      <c r="C88" s="4"/>
      <c r="D88" s="4"/>
      <c r="E88" s="4"/>
    </row>
    <row r="89" customFormat="false" ht="15" hidden="false" customHeight="false" outlineLevel="0" collapsed="false">
      <c r="A89" s="8"/>
      <c r="B89" s="4"/>
      <c r="C89" s="4"/>
      <c r="D89" s="4"/>
      <c r="E89" s="4"/>
    </row>
    <row r="90" customFormat="false" ht="15" hidden="false" customHeight="false" outlineLevel="0" collapsed="false">
      <c r="A90" s="8"/>
      <c r="B90" s="4"/>
      <c r="C90" s="4"/>
      <c r="D90" s="4"/>
      <c r="E90" s="4"/>
    </row>
    <row r="91" customFormat="false" ht="15" hidden="false" customHeight="false" outlineLevel="0" collapsed="false">
      <c r="A91" s="8"/>
      <c r="B91" s="4"/>
      <c r="C91" s="4"/>
      <c r="D91" s="4"/>
      <c r="E91" s="4"/>
    </row>
    <row r="92" customFormat="false" ht="15" hidden="false" customHeight="false" outlineLevel="0" collapsed="false">
      <c r="A92" s="8"/>
      <c r="B92" s="4"/>
      <c r="C92" s="4"/>
      <c r="D92" s="4"/>
      <c r="E92" s="4"/>
    </row>
    <row r="93" customFormat="false" ht="15" hidden="false" customHeight="false" outlineLevel="0" collapsed="false">
      <c r="A93" s="8"/>
      <c r="B93" s="4"/>
      <c r="C93" s="4"/>
      <c r="D93" s="4"/>
      <c r="E93" s="4"/>
    </row>
    <row r="94" customFormat="false" ht="15" hidden="false" customHeight="false" outlineLevel="0" collapsed="false">
      <c r="A94" s="8"/>
      <c r="B94" s="4"/>
      <c r="C94" s="4"/>
      <c r="D94" s="4"/>
      <c r="E94" s="4"/>
    </row>
    <row r="95" customFormat="false" ht="15" hidden="false" customHeight="false" outlineLevel="0" collapsed="false">
      <c r="A95" s="8"/>
      <c r="B95" s="4"/>
      <c r="C95" s="4"/>
      <c r="D95" s="4"/>
      <c r="E95" s="4"/>
    </row>
    <row r="96" customFormat="false" ht="15" hidden="false" customHeight="false" outlineLevel="0" collapsed="false">
      <c r="A96" s="8"/>
      <c r="B96" s="4"/>
      <c r="C96" s="4"/>
      <c r="D96" s="4"/>
      <c r="E96" s="4"/>
    </row>
    <row r="97" customFormat="false" ht="15" hidden="false" customHeight="false" outlineLevel="0" collapsed="false">
      <c r="A97" s="8"/>
      <c r="B97" s="4"/>
      <c r="C97" s="4"/>
      <c r="D97" s="4"/>
      <c r="E97" s="4"/>
    </row>
    <row r="98" customFormat="false" ht="15" hidden="false" customHeight="false" outlineLevel="0" collapsed="false">
      <c r="A98" s="8"/>
      <c r="B98" s="4"/>
      <c r="C98" s="4"/>
      <c r="D98" s="4"/>
      <c r="E98" s="4"/>
    </row>
    <row r="99" customFormat="false" ht="15" hidden="false" customHeight="false" outlineLevel="0" collapsed="false">
      <c r="A99" s="8"/>
      <c r="B99" s="4"/>
      <c r="C99" s="4"/>
      <c r="D99" s="4"/>
      <c r="E99" s="4"/>
    </row>
    <row r="100" customFormat="false" ht="15" hidden="false" customHeight="false" outlineLevel="0" collapsed="false">
      <c r="A100" s="8"/>
      <c r="B100" s="4"/>
      <c r="C100" s="4"/>
      <c r="D100" s="4"/>
      <c r="E100" s="4"/>
    </row>
    <row r="101" customFormat="false" ht="15" hidden="false" customHeight="false" outlineLevel="0" collapsed="false">
      <c r="A101" s="8"/>
      <c r="B101" s="4"/>
      <c r="C101" s="4"/>
      <c r="D101" s="4"/>
      <c r="E101" s="4"/>
    </row>
    <row r="102" customFormat="false" ht="15" hidden="false" customHeight="false" outlineLevel="0" collapsed="false">
      <c r="A102" s="8"/>
      <c r="B102" s="4"/>
      <c r="C102" s="4"/>
      <c r="D102" s="4"/>
      <c r="E102" s="4"/>
    </row>
    <row r="103" customFormat="false" ht="15" hidden="false" customHeight="false" outlineLevel="0" collapsed="false">
      <c r="A103" s="8"/>
      <c r="B103" s="4"/>
      <c r="C103" s="4"/>
      <c r="D103" s="4"/>
      <c r="E103" s="4"/>
    </row>
    <row r="104" customFormat="false" ht="15" hidden="false" customHeight="false" outlineLevel="0" collapsed="false">
      <c r="A104" s="8"/>
      <c r="B104" s="4"/>
      <c r="C104" s="4"/>
      <c r="D104" s="4"/>
      <c r="E104" s="4"/>
    </row>
    <row r="105" customFormat="false" ht="15" hidden="false" customHeight="false" outlineLevel="0" collapsed="false">
      <c r="A105" s="8"/>
      <c r="B105" s="4"/>
      <c r="C105" s="4"/>
      <c r="D105" s="4"/>
      <c r="E105" s="4"/>
    </row>
    <row r="106" customFormat="false" ht="15" hidden="false" customHeight="false" outlineLevel="0" collapsed="false">
      <c r="A106" s="8"/>
      <c r="B106" s="4"/>
      <c r="C106" s="4"/>
      <c r="D106" s="4"/>
      <c r="E106" s="4"/>
    </row>
    <row r="107" customFormat="false" ht="15" hidden="false" customHeight="false" outlineLevel="0" collapsed="false">
      <c r="A107" s="8"/>
      <c r="B107" s="4"/>
      <c r="C107" s="4"/>
      <c r="D107" s="4"/>
      <c r="E107" s="4"/>
    </row>
    <row r="108" customFormat="false" ht="15" hidden="false" customHeight="false" outlineLevel="0" collapsed="false">
      <c r="A108" s="8"/>
      <c r="B108" s="4"/>
      <c r="C108" s="4"/>
      <c r="D108" s="4"/>
      <c r="E108" s="4"/>
    </row>
    <row r="109" customFormat="false" ht="15" hidden="false" customHeight="false" outlineLevel="0" collapsed="false">
      <c r="A109" s="8"/>
      <c r="B109" s="4"/>
      <c r="C109" s="4"/>
      <c r="D109" s="4"/>
      <c r="E109" s="4"/>
    </row>
    <row r="110" customFormat="false" ht="15" hidden="false" customHeight="false" outlineLevel="0" collapsed="false">
      <c r="A110" s="8"/>
      <c r="B110" s="4"/>
      <c r="C110" s="4"/>
      <c r="D110" s="4"/>
      <c r="E110" s="4"/>
    </row>
    <row r="111" customFormat="false" ht="15" hidden="false" customHeight="false" outlineLevel="0" collapsed="false">
      <c r="A111" s="8"/>
      <c r="B111" s="4"/>
      <c r="C111" s="4"/>
      <c r="D111" s="4"/>
      <c r="E111" s="4"/>
    </row>
    <row r="112" customFormat="false" ht="15" hidden="false" customHeight="false" outlineLevel="0" collapsed="false">
      <c r="A112" s="8"/>
      <c r="B112" s="4"/>
      <c r="C112" s="4"/>
      <c r="D112" s="4"/>
      <c r="E112" s="4"/>
    </row>
    <row r="113" customFormat="false" ht="15" hidden="false" customHeight="false" outlineLevel="0" collapsed="false">
      <c r="A113" s="8"/>
      <c r="B113" s="4"/>
      <c r="C113" s="4"/>
      <c r="D113" s="4"/>
      <c r="E113" s="4"/>
    </row>
    <row r="114" customFormat="false" ht="15" hidden="false" customHeight="false" outlineLevel="0" collapsed="false">
      <c r="A114" s="8"/>
      <c r="B114" s="4"/>
      <c r="C114" s="4"/>
      <c r="D114" s="4"/>
      <c r="E114" s="4"/>
    </row>
    <row r="115" customFormat="false" ht="15" hidden="false" customHeight="false" outlineLevel="0" collapsed="false">
      <c r="A115" s="8"/>
      <c r="B115" s="4"/>
      <c r="C115" s="4"/>
      <c r="D115" s="4"/>
      <c r="E115" s="4"/>
    </row>
    <row r="116" customFormat="false" ht="15" hidden="false" customHeight="false" outlineLevel="0" collapsed="false">
      <c r="A116" s="8"/>
      <c r="B116" s="4"/>
      <c r="C116" s="4"/>
      <c r="D116" s="4"/>
      <c r="E116" s="4"/>
    </row>
    <row r="117" customFormat="false" ht="15" hidden="false" customHeight="false" outlineLevel="0" collapsed="false">
      <c r="A117" s="8"/>
      <c r="B117" s="4"/>
      <c r="C117" s="4"/>
      <c r="D117" s="4"/>
      <c r="E117" s="4"/>
    </row>
    <row r="118" customFormat="false" ht="15" hidden="false" customHeight="false" outlineLevel="0" collapsed="false">
      <c r="A118" s="8"/>
      <c r="B118" s="4"/>
      <c r="C118" s="4"/>
      <c r="D118" s="4"/>
      <c r="E118" s="4"/>
    </row>
    <row r="119" customFormat="false" ht="15" hidden="false" customHeight="false" outlineLevel="0" collapsed="false">
      <c r="A119" s="8"/>
      <c r="B119" s="4"/>
      <c r="C119" s="4"/>
      <c r="D119" s="4"/>
      <c r="E119" s="4"/>
    </row>
    <row r="120" customFormat="false" ht="15" hidden="false" customHeight="false" outlineLevel="0" collapsed="false">
      <c r="A120" s="8"/>
      <c r="B120" s="4"/>
      <c r="C120" s="4"/>
      <c r="D120" s="4"/>
      <c r="E120" s="4"/>
    </row>
    <row r="121" customFormat="false" ht="15" hidden="false" customHeight="false" outlineLevel="0" collapsed="false">
      <c r="A121" s="8"/>
      <c r="B121" s="4"/>
      <c r="C121" s="4"/>
      <c r="D121" s="4"/>
      <c r="E121" s="4"/>
    </row>
    <row r="122" customFormat="false" ht="15" hidden="false" customHeight="false" outlineLevel="0" collapsed="false">
      <c r="A122" s="8"/>
      <c r="B122" s="4"/>
      <c r="C122" s="4"/>
      <c r="D122" s="4"/>
      <c r="E122" s="4"/>
    </row>
    <row r="123" customFormat="false" ht="15" hidden="false" customHeight="false" outlineLevel="0" collapsed="false">
      <c r="A123" s="8"/>
      <c r="B123" s="4"/>
      <c r="C123" s="4"/>
      <c r="D123" s="4"/>
      <c r="E123" s="4"/>
    </row>
    <row r="124" customFormat="false" ht="15" hidden="false" customHeight="false" outlineLevel="0" collapsed="false">
      <c r="A124" s="8"/>
      <c r="B124" s="4"/>
      <c r="C124" s="4"/>
      <c r="D124" s="4"/>
      <c r="E124" s="4"/>
    </row>
    <row r="125" customFormat="false" ht="15" hidden="false" customHeight="false" outlineLevel="0" collapsed="false">
      <c r="A125" s="8"/>
      <c r="B125" s="4"/>
      <c r="C125" s="4"/>
      <c r="D125" s="4"/>
      <c r="E125" s="4"/>
    </row>
    <row r="126" customFormat="false" ht="15" hidden="false" customHeight="false" outlineLevel="0" collapsed="false">
      <c r="A126" s="8"/>
      <c r="B126" s="4"/>
      <c r="C126" s="4"/>
      <c r="D126" s="4"/>
      <c r="E126" s="4"/>
    </row>
    <row r="127" customFormat="false" ht="15" hidden="false" customHeight="false" outlineLevel="0" collapsed="false">
      <c r="A127" s="8"/>
      <c r="B127" s="4"/>
      <c r="C127" s="4"/>
      <c r="D127" s="4"/>
      <c r="E127" s="4"/>
    </row>
    <row r="128" customFormat="false" ht="15" hidden="false" customHeight="false" outlineLevel="0" collapsed="false">
      <c r="A128" s="8"/>
      <c r="B128" s="4"/>
      <c r="C128" s="4"/>
      <c r="D128" s="4"/>
      <c r="E128" s="4"/>
    </row>
    <row r="129" customFormat="false" ht="15" hidden="false" customHeight="false" outlineLevel="0" collapsed="false">
      <c r="A129" s="8"/>
      <c r="B129" s="4"/>
      <c r="C129" s="4"/>
      <c r="D129" s="4"/>
      <c r="E129" s="4"/>
    </row>
    <row r="130" customFormat="false" ht="15" hidden="false" customHeight="false" outlineLevel="0" collapsed="false">
      <c r="A130" s="8"/>
      <c r="B130" s="4"/>
      <c r="C130" s="4"/>
      <c r="D130" s="4"/>
      <c r="E130" s="4"/>
    </row>
    <row r="131" customFormat="false" ht="15" hidden="false" customHeight="false" outlineLevel="0" collapsed="false">
      <c r="A131" s="8"/>
      <c r="B131" s="4"/>
      <c r="C131" s="4"/>
      <c r="D131" s="4"/>
      <c r="E131" s="4"/>
    </row>
    <row r="132" customFormat="false" ht="15" hidden="false" customHeight="false" outlineLevel="0" collapsed="false">
      <c r="A132" s="8"/>
      <c r="B132" s="4"/>
      <c r="C132" s="4"/>
      <c r="D132" s="4"/>
      <c r="E132" s="4"/>
    </row>
    <row r="133" customFormat="false" ht="15" hidden="false" customHeight="false" outlineLevel="0" collapsed="false">
      <c r="A133" s="8"/>
      <c r="B133" s="4"/>
      <c r="C133" s="4"/>
      <c r="D133" s="4"/>
      <c r="E133" s="4"/>
    </row>
    <row r="134" customFormat="false" ht="15" hidden="false" customHeight="false" outlineLevel="0" collapsed="false">
      <c r="A134" s="8"/>
      <c r="B134" s="4"/>
      <c r="C134" s="4"/>
      <c r="D134" s="4"/>
      <c r="E134" s="4"/>
    </row>
    <row r="135" customFormat="false" ht="15" hidden="false" customHeight="false" outlineLevel="0" collapsed="false">
      <c r="A135" s="8"/>
      <c r="B135" s="4"/>
      <c r="C135" s="4"/>
      <c r="D135" s="4"/>
      <c r="E135" s="4"/>
    </row>
    <row r="136" customFormat="false" ht="15" hidden="false" customHeight="false" outlineLevel="0" collapsed="false">
      <c r="A136" s="8"/>
      <c r="B136" s="4"/>
      <c r="C136" s="4"/>
      <c r="D136" s="4"/>
      <c r="E136" s="4"/>
    </row>
    <row r="137" customFormat="false" ht="15" hidden="false" customHeight="false" outlineLevel="0" collapsed="false">
      <c r="A137" s="8"/>
      <c r="B137" s="4"/>
      <c r="C137" s="4"/>
      <c r="D137" s="4"/>
      <c r="E137" s="4"/>
    </row>
    <row r="138" customFormat="false" ht="15" hidden="false" customHeight="false" outlineLevel="0" collapsed="false">
      <c r="A138" s="8"/>
      <c r="B138" s="4"/>
      <c r="C138" s="4"/>
      <c r="D138" s="4"/>
      <c r="E138" s="4"/>
    </row>
    <row r="139" customFormat="false" ht="15" hidden="false" customHeight="false" outlineLevel="0" collapsed="false">
      <c r="A139" s="8"/>
      <c r="B139" s="4"/>
      <c r="C139" s="4"/>
      <c r="D139" s="4"/>
      <c r="E139" s="4"/>
    </row>
    <row r="140" customFormat="false" ht="15" hidden="false" customHeight="false" outlineLevel="0" collapsed="false">
      <c r="A140" s="8"/>
      <c r="B140" s="4"/>
      <c r="C140" s="4"/>
      <c r="D140" s="4"/>
      <c r="E140" s="4"/>
    </row>
    <row r="141" customFormat="false" ht="15" hidden="false" customHeight="false" outlineLevel="0" collapsed="false">
      <c r="A141" s="8"/>
      <c r="B141" s="4"/>
      <c r="C141" s="4"/>
      <c r="D141" s="4"/>
      <c r="E141" s="4"/>
    </row>
    <row r="142" customFormat="false" ht="15" hidden="false" customHeight="false" outlineLevel="0" collapsed="false">
      <c r="A142" s="8"/>
      <c r="B142" s="4"/>
      <c r="C142" s="4"/>
      <c r="D142" s="4"/>
      <c r="E142" s="4"/>
    </row>
    <row r="143" customFormat="false" ht="15" hidden="false" customHeight="false" outlineLevel="0" collapsed="false">
      <c r="A143" s="8"/>
      <c r="B143" s="4"/>
      <c r="C143" s="4"/>
      <c r="D143" s="4"/>
      <c r="E143" s="4"/>
    </row>
    <row r="144" customFormat="false" ht="15" hidden="false" customHeight="false" outlineLevel="0" collapsed="false">
      <c r="A144" s="8"/>
      <c r="B144" s="4"/>
      <c r="C144" s="4"/>
      <c r="D144" s="4"/>
      <c r="E144" s="4"/>
    </row>
    <row r="145" customFormat="false" ht="15" hidden="false" customHeight="false" outlineLevel="0" collapsed="false">
      <c r="A145" s="8"/>
      <c r="B145" s="4"/>
      <c r="C145" s="4"/>
      <c r="D145" s="4"/>
      <c r="E145" s="4"/>
    </row>
    <row r="146" customFormat="false" ht="15" hidden="false" customHeight="false" outlineLevel="0" collapsed="false">
      <c r="A146" s="8"/>
      <c r="B146" s="4"/>
      <c r="C146" s="4"/>
      <c r="D146" s="4"/>
      <c r="E146" s="4"/>
    </row>
    <row r="147" customFormat="false" ht="15" hidden="false" customHeight="false" outlineLevel="0" collapsed="false">
      <c r="A147" s="8"/>
      <c r="B147" s="4"/>
      <c r="C147" s="4"/>
      <c r="D147" s="4"/>
      <c r="E147" s="4"/>
    </row>
    <row r="148" customFormat="false" ht="15" hidden="false" customHeight="false" outlineLevel="0" collapsed="false">
      <c r="A148" s="8"/>
      <c r="B148" s="4"/>
      <c r="C148" s="4"/>
      <c r="D148" s="4"/>
      <c r="E148" s="4"/>
    </row>
    <row r="149" customFormat="false" ht="15" hidden="false" customHeight="false" outlineLevel="0" collapsed="false">
      <c r="A149" s="8"/>
      <c r="B149" s="4"/>
      <c r="C149" s="4"/>
      <c r="D149" s="4"/>
      <c r="E149" s="4"/>
    </row>
    <row r="150" customFormat="false" ht="15" hidden="false" customHeight="false" outlineLevel="0" collapsed="false">
      <c r="A150" s="8"/>
      <c r="B150" s="4"/>
      <c r="C150" s="4"/>
      <c r="D150" s="4"/>
      <c r="E150" s="4"/>
    </row>
    <row r="151" customFormat="false" ht="15" hidden="false" customHeight="false" outlineLevel="0" collapsed="false">
      <c r="A151" s="8"/>
      <c r="B151" s="4"/>
      <c r="C151" s="4"/>
      <c r="D151" s="4"/>
      <c r="E151" s="4"/>
    </row>
    <row r="152" customFormat="false" ht="15" hidden="false" customHeight="false" outlineLevel="0" collapsed="false">
      <c r="A152" s="8"/>
      <c r="B152" s="4"/>
      <c r="C152" s="4"/>
      <c r="D152" s="4"/>
      <c r="E152" s="4"/>
    </row>
    <row r="153" customFormat="false" ht="15" hidden="false" customHeight="false" outlineLevel="0" collapsed="false">
      <c r="A153" s="8"/>
      <c r="B153" s="4"/>
      <c r="C153" s="4"/>
      <c r="D153" s="4"/>
      <c r="E153" s="4"/>
    </row>
    <row r="154" customFormat="false" ht="15" hidden="false" customHeight="false" outlineLevel="0" collapsed="false">
      <c r="A154" s="8"/>
      <c r="B154" s="4"/>
      <c r="C154" s="4"/>
      <c r="D154" s="4"/>
      <c r="E154" s="4"/>
    </row>
    <row r="155" customFormat="false" ht="15" hidden="false" customHeight="false" outlineLevel="0" collapsed="false">
      <c r="A155" s="8"/>
      <c r="B155" s="4"/>
      <c r="C155" s="4"/>
      <c r="D155" s="4"/>
      <c r="E155" s="4"/>
    </row>
    <row r="156" customFormat="false" ht="15" hidden="false" customHeight="false" outlineLevel="0" collapsed="false">
      <c r="A156" s="8"/>
      <c r="B156" s="4"/>
      <c r="C156" s="4"/>
      <c r="D156" s="4"/>
      <c r="E156" s="4"/>
    </row>
    <row r="157" customFormat="false" ht="15" hidden="false" customHeight="false" outlineLevel="0" collapsed="false">
      <c r="A157" s="8"/>
      <c r="B157" s="4"/>
      <c r="C157" s="4"/>
      <c r="D157" s="4"/>
      <c r="E157" s="4"/>
    </row>
    <row r="158" customFormat="false" ht="15" hidden="false" customHeight="false" outlineLevel="0" collapsed="false">
      <c r="A158" s="8"/>
      <c r="B158" s="4"/>
      <c r="C158" s="4"/>
      <c r="D158" s="4"/>
      <c r="E158" s="4"/>
    </row>
    <row r="159" customFormat="false" ht="15" hidden="false" customHeight="false" outlineLevel="0" collapsed="false">
      <c r="A159" s="8"/>
      <c r="B159" s="4"/>
      <c r="C159" s="4"/>
      <c r="D159" s="4"/>
      <c r="E159" s="4"/>
    </row>
    <row r="160" customFormat="false" ht="15" hidden="false" customHeight="false" outlineLevel="0" collapsed="false">
      <c r="A160" s="8"/>
      <c r="B160" s="4"/>
      <c r="C160" s="4"/>
      <c r="D160" s="4"/>
      <c r="E160" s="4"/>
    </row>
    <row r="161" customFormat="false" ht="15" hidden="false" customHeight="false" outlineLevel="0" collapsed="false">
      <c r="A161" s="8"/>
      <c r="B161" s="4"/>
      <c r="C161" s="4"/>
      <c r="D161" s="4"/>
      <c r="E161" s="4"/>
    </row>
    <row r="162" customFormat="false" ht="15" hidden="false" customHeight="false" outlineLevel="0" collapsed="false">
      <c r="A162" s="8"/>
      <c r="B162" s="4"/>
      <c r="C162" s="4"/>
      <c r="D162" s="4"/>
      <c r="E162" s="4"/>
    </row>
    <row r="163" customFormat="false" ht="15" hidden="false" customHeight="false" outlineLevel="0" collapsed="false">
      <c r="A163" s="8"/>
      <c r="B163" s="4"/>
      <c r="C163" s="4"/>
      <c r="D163" s="4"/>
      <c r="E163" s="4"/>
    </row>
    <row r="164" customFormat="false" ht="15" hidden="false" customHeight="false" outlineLevel="0" collapsed="false">
      <c r="A164" s="8"/>
      <c r="B164" s="4"/>
      <c r="C164" s="4"/>
      <c r="D164" s="4"/>
      <c r="E164" s="4"/>
    </row>
    <row r="165" customFormat="false" ht="15" hidden="false" customHeight="false" outlineLevel="0" collapsed="false">
      <c r="A165" s="8"/>
      <c r="B165" s="4"/>
      <c r="C165" s="4"/>
      <c r="D165" s="4"/>
      <c r="E165" s="4"/>
    </row>
    <row r="166" customFormat="false" ht="15" hidden="false" customHeight="false" outlineLevel="0" collapsed="false">
      <c r="A166" s="8"/>
      <c r="B166" s="4"/>
      <c r="C166" s="4"/>
      <c r="D166" s="4"/>
      <c r="E166" s="4"/>
    </row>
    <row r="167" customFormat="false" ht="15" hidden="false" customHeight="false" outlineLevel="0" collapsed="false">
      <c r="A167" s="8"/>
      <c r="B167" s="4"/>
      <c r="C167" s="4"/>
      <c r="D167" s="4"/>
      <c r="E167" s="4"/>
    </row>
    <row r="168" customFormat="false" ht="15" hidden="false" customHeight="false" outlineLevel="0" collapsed="false">
      <c r="A168" s="8"/>
      <c r="B168" s="4"/>
      <c r="C168" s="4"/>
      <c r="D168" s="4"/>
      <c r="E168" s="4"/>
    </row>
    <row r="169" customFormat="false" ht="15" hidden="false" customHeight="false" outlineLevel="0" collapsed="false">
      <c r="A169" s="8"/>
      <c r="B169" s="4"/>
      <c r="C169" s="4"/>
      <c r="D169" s="4"/>
      <c r="E169" s="4"/>
    </row>
    <row r="170" customFormat="false" ht="15" hidden="false" customHeight="false" outlineLevel="0" collapsed="false">
      <c r="A170" s="8"/>
      <c r="B170" s="4"/>
      <c r="C170" s="4"/>
      <c r="D170" s="4"/>
      <c r="E170" s="4"/>
    </row>
    <row r="171" customFormat="false" ht="15" hidden="false" customHeight="false" outlineLevel="0" collapsed="false">
      <c r="A171" s="8"/>
      <c r="B171" s="4"/>
      <c r="C171" s="4"/>
      <c r="D171" s="4"/>
      <c r="E171" s="4"/>
    </row>
    <row r="172" customFormat="false" ht="15" hidden="false" customHeight="false" outlineLevel="0" collapsed="false">
      <c r="A172" s="8"/>
      <c r="B172" s="4"/>
      <c r="C172" s="4"/>
      <c r="D172" s="4"/>
      <c r="E172" s="4"/>
    </row>
    <row r="173" customFormat="false" ht="15" hidden="false" customHeight="false" outlineLevel="0" collapsed="false">
      <c r="A173" s="8"/>
      <c r="B173" s="4"/>
      <c r="C173" s="4"/>
      <c r="D173" s="4"/>
      <c r="E173" s="4"/>
    </row>
    <row r="174" customFormat="false" ht="15" hidden="false" customHeight="false" outlineLevel="0" collapsed="false">
      <c r="A174" s="8"/>
      <c r="B174" s="4"/>
      <c r="C174" s="4"/>
      <c r="D174" s="4"/>
      <c r="E174" s="4"/>
    </row>
    <row r="175" customFormat="false" ht="15" hidden="false" customHeight="false" outlineLevel="0" collapsed="false">
      <c r="A175" s="8"/>
      <c r="B175" s="4"/>
      <c r="C175" s="4"/>
      <c r="D175" s="4"/>
      <c r="E175" s="4"/>
    </row>
    <row r="176" customFormat="false" ht="15" hidden="false" customHeight="false" outlineLevel="0" collapsed="false">
      <c r="A176" s="8"/>
      <c r="B176" s="4"/>
      <c r="C176" s="4"/>
      <c r="D176" s="4"/>
      <c r="E176" s="4"/>
    </row>
    <row r="177" customFormat="false" ht="15" hidden="false" customHeight="false" outlineLevel="0" collapsed="false">
      <c r="A177" s="8"/>
      <c r="B177" s="4"/>
      <c r="C177" s="4"/>
      <c r="D177" s="4"/>
      <c r="E177" s="4"/>
    </row>
    <row r="178" customFormat="false" ht="15" hidden="false" customHeight="false" outlineLevel="0" collapsed="false">
      <c r="A178" s="8"/>
      <c r="B178" s="4"/>
      <c r="C178" s="4"/>
      <c r="D178" s="4"/>
      <c r="E178" s="4"/>
    </row>
    <row r="179" customFormat="false" ht="15" hidden="false" customHeight="false" outlineLevel="0" collapsed="false">
      <c r="A179" s="8"/>
      <c r="B179" s="4"/>
      <c r="C179" s="4"/>
      <c r="D179" s="4"/>
      <c r="E179" s="4"/>
    </row>
    <row r="180" customFormat="false" ht="15" hidden="false" customHeight="false" outlineLevel="0" collapsed="false">
      <c r="A180" s="8"/>
      <c r="B180" s="4"/>
      <c r="C180" s="4"/>
      <c r="D180" s="4"/>
      <c r="E180" s="4"/>
    </row>
    <row r="181" customFormat="false" ht="15" hidden="false" customHeight="false" outlineLevel="0" collapsed="false">
      <c r="A181" s="8"/>
      <c r="B181" s="4"/>
      <c r="C181" s="4"/>
      <c r="D181" s="4"/>
      <c r="E181" s="4"/>
    </row>
    <row r="182" customFormat="false" ht="15" hidden="false" customHeight="false" outlineLevel="0" collapsed="false">
      <c r="A182" s="8"/>
      <c r="B182" s="4"/>
      <c r="C182" s="4"/>
      <c r="D182" s="4"/>
      <c r="E182" s="4"/>
    </row>
    <row r="183" customFormat="false" ht="15" hidden="false" customHeight="false" outlineLevel="0" collapsed="false">
      <c r="A183" s="8"/>
      <c r="B183" s="4"/>
      <c r="C183" s="4"/>
      <c r="D183" s="4"/>
      <c r="E183" s="4"/>
    </row>
    <row r="184" customFormat="false" ht="15" hidden="false" customHeight="false" outlineLevel="0" collapsed="false">
      <c r="A184" s="8"/>
      <c r="B184" s="4"/>
      <c r="C184" s="4"/>
      <c r="D184" s="4"/>
      <c r="E184" s="4"/>
    </row>
    <row r="185" customFormat="false" ht="15" hidden="false" customHeight="false" outlineLevel="0" collapsed="false">
      <c r="A185" s="8"/>
      <c r="B185" s="4"/>
      <c r="C185" s="4"/>
      <c r="D185" s="4"/>
      <c r="E185" s="4"/>
    </row>
    <row r="186" customFormat="false" ht="15" hidden="false" customHeight="false" outlineLevel="0" collapsed="false">
      <c r="A186" s="8"/>
      <c r="B186" s="4"/>
      <c r="C186" s="4"/>
      <c r="D186" s="4"/>
      <c r="E186" s="4"/>
    </row>
    <row r="187" customFormat="false" ht="15" hidden="false" customHeight="false" outlineLevel="0" collapsed="false">
      <c r="A187" s="8"/>
      <c r="B187" s="4"/>
      <c r="C187" s="4"/>
      <c r="D187" s="4"/>
      <c r="E187" s="4"/>
    </row>
    <row r="188" customFormat="false" ht="15" hidden="false" customHeight="false" outlineLevel="0" collapsed="false">
      <c r="A188" s="8"/>
      <c r="B188" s="4"/>
      <c r="C188" s="4"/>
      <c r="D188" s="4"/>
      <c r="E188" s="4"/>
    </row>
    <row r="189" customFormat="false" ht="15" hidden="false" customHeight="false" outlineLevel="0" collapsed="false">
      <c r="A189" s="8"/>
      <c r="B189" s="4"/>
      <c r="C189" s="4"/>
      <c r="D189" s="4"/>
      <c r="E189" s="4"/>
    </row>
    <row r="190" customFormat="false" ht="15" hidden="false" customHeight="false" outlineLevel="0" collapsed="false">
      <c r="A190" s="8"/>
      <c r="B190" s="4"/>
      <c r="C190" s="4"/>
      <c r="D190" s="4"/>
      <c r="E190" s="4"/>
    </row>
    <row r="191" customFormat="false" ht="15" hidden="false" customHeight="false" outlineLevel="0" collapsed="false">
      <c r="A191" s="8"/>
      <c r="B191" s="4"/>
      <c r="C191" s="4"/>
      <c r="D191" s="4"/>
      <c r="E191" s="4"/>
    </row>
    <row r="192" customFormat="false" ht="15" hidden="false" customHeight="false" outlineLevel="0" collapsed="false">
      <c r="A192" s="8"/>
      <c r="B192" s="4"/>
      <c r="C192" s="4"/>
      <c r="D192" s="4"/>
      <c r="E192" s="4"/>
    </row>
    <row r="193" customFormat="false" ht="15" hidden="false" customHeight="false" outlineLevel="0" collapsed="false">
      <c r="A193" s="8"/>
      <c r="B193" s="4"/>
      <c r="C193" s="4"/>
      <c r="D193" s="4"/>
      <c r="E193" s="4"/>
    </row>
    <row r="194" customFormat="false" ht="15" hidden="false" customHeight="false" outlineLevel="0" collapsed="false">
      <c r="A194" s="8"/>
      <c r="B194" s="4"/>
      <c r="C194" s="4"/>
      <c r="D194" s="4"/>
      <c r="E194" s="4"/>
    </row>
    <row r="195" customFormat="false" ht="15" hidden="false" customHeight="false" outlineLevel="0" collapsed="false">
      <c r="A195" s="8"/>
      <c r="B195" s="4"/>
      <c r="C195" s="4"/>
      <c r="D195" s="4"/>
      <c r="E195" s="4"/>
    </row>
    <row r="196" customFormat="false" ht="15" hidden="false" customHeight="false" outlineLevel="0" collapsed="false">
      <c r="A196" s="8"/>
      <c r="B196" s="4"/>
      <c r="C196" s="4"/>
      <c r="D196" s="4"/>
      <c r="E196" s="4"/>
    </row>
    <row r="197" customFormat="false" ht="15" hidden="false" customHeight="false" outlineLevel="0" collapsed="false">
      <c r="A197" s="8"/>
      <c r="B197" s="4"/>
      <c r="C197" s="4"/>
      <c r="D197" s="4"/>
      <c r="E197" s="4"/>
    </row>
    <row r="198" customFormat="false" ht="15" hidden="false" customHeight="false" outlineLevel="0" collapsed="false">
      <c r="A198" s="8"/>
      <c r="B198" s="4"/>
      <c r="C198" s="4"/>
      <c r="D198" s="4"/>
      <c r="E198" s="4"/>
    </row>
    <row r="199" customFormat="false" ht="15" hidden="false" customHeight="false" outlineLevel="0" collapsed="false">
      <c r="A199" s="8"/>
      <c r="B199" s="4"/>
      <c r="C199" s="4"/>
      <c r="D199" s="4"/>
      <c r="E199" s="4"/>
    </row>
    <row r="200" customFormat="false" ht="15" hidden="false" customHeight="false" outlineLevel="0" collapsed="false">
      <c r="A200" s="8"/>
      <c r="B200" s="4"/>
      <c r="C200" s="4"/>
      <c r="D200" s="4"/>
      <c r="E200" s="4"/>
    </row>
    <row r="201" customFormat="false" ht="15" hidden="false" customHeight="false" outlineLevel="0" collapsed="false">
      <c r="A201" s="8"/>
      <c r="B201" s="4"/>
      <c r="C201" s="4"/>
      <c r="D201" s="4"/>
      <c r="E201" s="4"/>
    </row>
    <row r="202" customFormat="false" ht="15" hidden="false" customHeight="false" outlineLevel="0" collapsed="false">
      <c r="A202" s="8"/>
      <c r="B202" s="4"/>
      <c r="C202" s="4"/>
      <c r="D202" s="4"/>
      <c r="E202" s="4"/>
    </row>
    <row r="203" customFormat="false" ht="15" hidden="false" customHeight="false" outlineLevel="0" collapsed="false">
      <c r="A203" s="8"/>
      <c r="B203" s="4"/>
      <c r="C203" s="4"/>
      <c r="D203" s="4"/>
      <c r="E203" s="4"/>
    </row>
    <row r="204" customFormat="false" ht="15" hidden="false" customHeight="false" outlineLevel="0" collapsed="false">
      <c r="A204" s="8"/>
      <c r="B204" s="4"/>
      <c r="C204" s="4"/>
      <c r="D204" s="4"/>
      <c r="E204" s="4"/>
    </row>
    <row r="205" customFormat="false" ht="15" hidden="false" customHeight="false" outlineLevel="0" collapsed="false">
      <c r="A205" s="8"/>
      <c r="B205" s="4"/>
      <c r="C205" s="4"/>
      <c r="D205" s="4"/>
      <c r="E205" s="4"/>
    </row>
    <row r="206" customFormat="false" ht="15" hidden="false" customHeight="false" outlineLevel="0" collapsed="false">
      <c r="A206" s="8"/>
      <c r="B206" s="4"/>
      <c r="C206" s="4"/>
      <c r="D206" s="4"/>
      <c r="E206" s="4"/>
    </row>
    <row r="207" customFormat="false" ht="15" hidden="false" customHeight="false" outlineLevel="0" collapsed="false">
      <c r="A207" s="8"/>
      <c r="B207" s="4"/>
      <c r="C207" s="4"/>
      <c r="D207" s="4"/>
      <c r="E207" s="4"/>
    </row>
    <row r="208" customFormat="false" ht="15" hidden="false" customHeight="false" outlineLevel="0" collapsed="false">
      <c r="A208" s="8"/>
      <c r="B208" s="4"/>
      <c r="C208" s="4"/>
      <c r="D208" s="4"/>
      <c r="E208" s="4"/>
    </row>
    <row r="209" customFormat="false" ht="15" hidden="false" customHeight="false" outlineLevel="0" collapsed="false">
      <c r="A209" s="8"/>
      <c r="B209" s="4"/>
      <c r="C209" s="4"/>
      <c r="D209" s="4"/>
      <c r="E209" s="4"/>
    </row>
    <row r="210" customFormat="false" ht="15" hidden="false" customHeight="false" outlineLevel="0" collapsed="false">
      <c r="A210" s="8"/>
      <c r="B210" s="4"/>
      <c r="C210" s="4"/>
      <c r="D210" s="4"/>
      <c r="E210" s="4"/>
    </row>
    <row r="211" customFormat="false" ht="15" hidden="false" customHeight="false" outlineLevel="0" collapsed="false">
      <c r="A211" s="8"/>
      <c r="B211" s="4"/>
      <c r="C211" s="4"/>
      <c r="D211" s="4"/>
      <c r="E211" s="4"/>
    </row>
    <row r="212" customFormat="false" ht="15" hidden="false" customHeight="false" outlineLevel="0" collapsed="false">
      <c r="A212" s="8"/>
      <c r="B212" s="4"/>
      <c r="C212" s="4"/>
      <c r="D212" s="4"/>
      <c r="E212" s="4"/>
    </row>
    <row r="213" customFormat="false" ht="15" hidden="false" customHeight="false" outlineLevel="0" collapsed="false">
      <c r="A213" s="8"/>
      <c r="B213" s="4"/>
      <c r="C213" s="4"/>
      <c r="D213" s="4"/>
      <c r="E213" s="4"/>
    </row>
    <row r="214" customFormat="false" ht="15" hidden="false" customHeight="false" outlineLevel="0" collapsed="false">
      <c r="A214" s="8"/>
      <c r="B214" s="4"/>
      <c r="C214" s="4"/>
      <c r="D214" s="4"/>
      <c r="E214" s="4"/>
    </row>
    <row r="215" customFormat="false" ht="15" hidden="false" customHeight="false" outlineLevel="0" collapsed="false">
      <c r="A215" s="8"/>
      <c r="B215" s="4"/>
      <c r="C215" s="4"/>
      <c r="D215" s="4"/>
      <c r="E215" s="4"/>
    </row>
    <row r="216" customFormat="false" ht="15" hidden="false" customHeight="false" outlineLevel="0" collapsed="false">
      <c r="A216" s="8"/>
      <c r="B216" s="4"/>
      <c r="C216" s="4"/>
      <c r="D216" s="4"/>
      <c r="E216" s="4"/>
    </row>
    <row r="217" customFormat="false" ht="15" hidden="false" customHeight="false" outlineLevel="0" collapsed="false">
      <c r="A217" s="8"/>
      <c r="B217" s="4"/>
      <c r="C217" s="4"/>
      <c r="D217" s="4"/>
      <c r="E217" s="4"/>
    </row>
    <row r="218" customFormat="false" ht="15" hidden="false" customHeight="false" outlineLevel="0" collapsed="false">
      <c r="A218" s="8"/>
      <c r="B218" s="4"/>
      <c r="C218" s="4"/>
      <c r="D218" s="4"/>
      <c r="E218" s="4"/>
    </row>
    <row r="219" customFormat="false" ht="15" hidden="false" customHeight="false" outlineLevel="0" collapsed="false">
      <c r="A219" s="8"/>
      <c r="B219" s="4"/>
      <c r="C219" s="4"/>
      <c r="D219" s="4"/>
      <c r="E219" s="4"/>
    </row>
    <row r="220" customFormat="false" ht="15" hidden="false" customHeight="false" outlineLevel="0" collapsed="false">
      <c r="A220" s="8"/>
      <c r="B220" s="4"/>
      <c r="C220" s="4"/>
      <c r="D220" s="4"/>
      <c r="E220" s="4"/>
    </row>
    <row r="221" customFormat="false" ht="15" hidden="false" customHeight="false" outlineLevel="0" collapsed="false">
      <c r="A221" s="8"/>
      <c r="B221" s="4"/>
      <c r="C221" s="4"/>
      <c r="D221" s="4"/>
      <c r="E221" s="4"/>
    </row>
    <row r="222" customFormat="false" ht="15" hidden="false" customHeight="false" outlineLevel="0" collapsed="false">
      <c r="A222" s="8"/>
      <c r="B222" s="4"/>
      <c r="C222" s="4"/>
      <c r="D222" s="4"/>
      <c r="E222" s="4"/>
    </row>
    <row r="223" customFormat="false" ht="15" hidden="false" customHeight="false" outlineLevel="0" collapsed="false">
      <c r="A223" s="8"/>
      <c r="B223" s="4"/>
      <c r="C223" s="4"/>
      <c r="D223" s="4"/>
      <c r="E223" s="4"/>
    </row>
    <row r="224" customFormat="false" ht="15" hidden="false" customHeight="false" outlineLevel="0" collapsed="false">
      <c r="A224" s="8"/>
      <c r="B224" s="4"/>
      <c r="C224" s="4"/>
      <c r="D224" s="4"/>
      <c r="E224" s="4"/>
    </row>
    <row r="225" customFormat="false" ht="15" hidden="false" customHeight="false" outlineLevel="0" collapsed="false">
      <c r="A225" s="8"/>
      <c r="B225" s="4"/>
      <c r="C225" s="4"/>
      <c r="D225" s="4"/>
      <c r="E225" s="4"/>
    </row>
    <row r="226" customFormat="false" ht="15" hidden="false" customHeight="false" outlineLevel="0" collapsed="false">
      <c r="A226" s="8"/>
      <c r="B226" s="4"/>
      <c r="C226" s="4"/>
      <c r="D226" s="4"/>
      <c r="E226" s="4"/>
    </row>
    <row r="227" customFormat="false" ht="15" hidden="false" customHeight="false" outlineLevel="0" collapsed="false">
      <c r="A227" s="8"/>
      <c r="B227" s="4"/>
      <c r="C227" s="4"/>
      <c r="D227" s="4"/>
      <c r="E227" s="4"/>
    </row>
    <row r="228" customFormat="false" ht="15" hidden="false" customHeight="false" outlineLevel="0" collapsed="false">
      <c r="A228" s="8"/>
      <c r="B228" s="4"/>
      <c r="C228" s="4"/>
      <c r="D228" s="4"/>
      <c r="E228" s="4"/>
    </row>
    <row r="229" customFormat="false" ht="15" hidden="false" customHeight="false" outlineLevel="0" collapsed="false">
      <c r="A229" s="8"/>
      <c r="B229" s="4"/>
      <c r="C229" s="4"/>
      <c r="D229" s="4"/>
      <c r="E229" s="4"/>
    </row>
    <row r="230" customFormat="false" ht="15" hidden="false" customHeight="false" outlineLevel="0" collapsed="false">
      <c r="A230" s="8"/>
      <c r="B230" s="4"/>
      <c r="C230" s="4"/>
      <c r="D230" s="4"/>
      <c r="E230" s="4"/>
    </row>
    <row r="231" customFormat="false" ht="15" hidden="false" customHeight="false" outlineLevel="0" collapsed="false">
      <c r="A231" s="8"/>
      <c r="B231" s="4"/>
      <c r="C231" s="4"/>
      <c r="D231" s="4"/>
      <c r="E231" s="4"/>
    </row>
    <row r="232" customFormat="false" ht="15" hidden="false" customHeight="false" outlineLevel="0" collapsed="false">
      <c r="A232" s="8"/>
      <c r="B232" s="4"/>
      <c r="C232" s="4"/>
      <c r="D232" s="4"/>
      <c r="E232" s="4"/>
    </row>
    <row r="233" customFormat="false" ht="15" hidden="false" customHeight="false" outlineLevel="0" collapsed="false">
      <c r="A233" s="8"/>
      <c r="B233" s="4"/>
      <c r="C233" s="4"/>
      <c r="D233" s="4"/>
      <c r="E233" s="4"/>
    </row>
    <row r="234" customFormat="false" ht="15" hidden="false" customHeight="false" outlineLevel="0" collapsed="false">
      <c r="A234" s="8"/>
      <c r="B234" s="4"/>
      <c r="C234" s="4"/>
      <c r="D234" s="4"/>
      <c r="E234" s="4"/>
    </row>
    <row r="235" customFormat="false" ht="15" hidden="false" customHeight="false" outlineLevel="0" collapsed="false">
      <c r="A235" s="8"/>
      <c r="B235" s="4"/>
      <c r="C235" s="4"/>
      <c r="D235" s="4"/>
      <c r="E235" s="4"/>
    </row>
    <row r="236" customFormat="false" ht="15" hidden="false" customHeight="false" outlineLevel="0" collapsed="false">
      <c r="A236" s="8"/>
      <c r="B236" s="4"/>
      <c r="C236" s="4"/>
      <c r="D236" s="4"/>
      <c r="E236" s="4"/>
    </row>
    <row r="237" customFormat="false" ht="15" hidden="false" customHeight="false" outlineLevel="0" collapsed="false">
      <c r="A237" s="8"/>
      <c r="B237" s="4"/>
      <c r="C237" s="4"/>
      <c r="D237" s="4"/>
      <c r="E237" s="4"/>
    </row>
    <row r="238" customFormat="false" ht="15" hidden="false" customHeight="false" outlineLevel="0" collapsed="false">
      <c r="A238" s="8"/>
      <c r="B238" s="4"/>
      <c r="C238" s="4"/>
      <c r="D238" s="4"/>
      <c r="E238" s="4"/>
    </row>
    <row r="239" customFormat="false" ht="15" hidden="false" customHeight="false" outlineLevel="0" collapsed="false">
      <c r="A239" s="8"/>
      <c r="B239" s="4"/>
      <c r="C239" s="4"/>
      <c r="D239" s="4"/>
      <c r="E239" s="4"/>
    </row>
    <row r="240" customFormat="false" ht="15" hidden="false" customHeight="false" outlineLevel="0" collapsed="false">
      <c r="A240" s="8"/>
      <c r="B240" s="4"/>
      <c r="C240" s="4"/>
      <c r="D240" s="4"/>
      <c r="E240" s="4"/>
    </row>
    <row r="241" customFormat="false" ht="15" hidden="false" customHeight="false" outlineLevel="0" collapsed="false">
      <c r="A241" s="8"/>
      <c r="B241" s="4"/>
      <c r="C241" s="4"/>
      <c r="D241" s="4"/>
      <c r="E241" s="4"/>
    </row>
    <row r="242" customFormat="false" ht="15" hidden="false" customHeight="false" outlineLevel="0" collapsed="false">
      <c r="A242" s="8"/>
      <c r="B242" s="4"/>
      <c r="C242" s="4"/>
      <c r="D242" s="4"/>
      <c r="E242" s="4"/>
    </row>
    <row r="243" customFormat="false" ht="15" hidden="false" customHeight="false" outlineLevel="0" collapsed="false">
      <c r="A243" s="8"/>
      <c r="B243" s="4"/>
      <c r="C243" s="4"/>
      <c r="D243" s="4"/>
      <c r="E243" s="4"/>
    </row>
    <row r="244" customFormat="false" ht="15" hidden="false" customHeight="false" outlineLevel="0" collapsed="false">
      <c r="A244" s="8"/>
      <c r="B244" s="4"/>
      <c r="C244" s="4"/>
      <c r="D244" s="4"/>
      <c r="E244" s="4"/>
    </row>
    <row r="245" customFormat="false" ht="15" hidden="false" customHeight="false" outlineLevel="0" collapsed="false">
      <c r="A245" s="8"/>
      <c r="B245" s="4"/>
      <c r="C245" s="4"/>
      <c r="D245" s="4"/>
      <c r="E245" s="4"/>
    </row>
    <row r="246" customFormat="false" ht="15" hidden="false" customHeight="false" outlineLevel="0" collapsed="false">
      <c r="A246" s="8"/>
      <c r="B246" s="4"/>
      <c r="C246" s="4"/>
      <c r="D246" s="4"/>
      <c r="E246" s="4"/>
    </row>
    <row r="247" customFormat="false" ht="15" hidden="false" customHeight="false" outlineLevel="0" collapsed="false">
      <c r="A247" s="8"/>
      <c r="B247" s="4"/>
      <c r="C247" s="4"/>
      <c r="D247" s="4"/>
      <c r="E247" s="4"/>
    </row>
    <row r="248" customFormat="false" ht="15" hidden="false" customHeight="false" outlineLevel="0" collapsed="false">
      <c r="A248" s="8"/>
      <c r="B248" s="4"/>
      <c r="C248" s="4"/>
      <c r="D248" s="4"/>
      <c r="E248" s="4"/>
    </row>
    <row r="249" customFormat="false" ht="15" hidden="false" customHeight="false" outlineLevel="0" collapsed="false">
      <c r="A249" s="8"/>
      <c r="B249" s="4"/>
      <c r="C249" s="4"/>
      <c r="D249" s="4"/>
      <c r="E249" s="4"/>
    </row>
    <row r="250" customFormat="false" ht="15" hidden="false" customHeight="false" outlineLevel="0" collapsed="false">
      <c r="A250" s="8"/>
      <c r="B250" s="4"/>
      <c r="C250" s="4"/>
      <c r="D250" s="4"/>
      <c r="E250" s="4"/>
    </row>
    <row r="251" customFormat="false" ht="15" hidden="false" customHeight="false" outlineLevel="0" collapsed="false">
      <c r="A251" s="8"/>
      <c r="B251" s="4"/>
      <c r="C251" s="4"/>
      <c r="D251" s="4"/>
      <c r="E251" s="4"/>
    </row>
    <row r="252" customFormat="false" ht="15" hidden="false" customHeight="false" outlineLevel="0" collapsed="false">
      <c r="A252" s="8"/>
      <c r="B252" s="4"/>
      <c r="C252" s="4"/>
      <c r="D252" s="4"/>
      <c r="E252" s="4"/>
    </row>
    <row r="253" customFormat="false" ht="15" hidden="false" customHeight="false" outlineLevel="0" collapsed="false">
      <c r="A253" s="8"/>
      <c r="B253" s="4"/>
      <c r="C253" s="4"/>
      <c r="D253" s="4"/>
      <c r="E253" s="4"/>
    </row>
    <row r="254" customFormat="false" ht="15" hidden="false" customHeight="false" outlineLevel="0" collapsed="false">
      <c r="A254" s="8"/>
      <c r="B254" s="4"/>
      <c r="C254" s="4"/>
      <c r="D254" s="4"/>
      <c r="E254" s="4"/>
    </row>
    <row r="255" customFormat="false" ht="15" hidden="false" customHeight="false" outlineLevel="0" collapsed="false">
      <c r="A255" s="8"/>
      <c r="B255" s="4"/>
      <c r="C255" s="4"/>
      <c r="D255" s="4"/>
      <c r="E255" s="4"/>
    </row>
    <row r="256" customFormat="false" ht="15" hidden="false" customHeight="false" outlineLevel="0" collapsed="false">
      <c r="A256" s="8"/>
      <c r="B256" s="4"/>
      <c r="C256" s="4"/>
      <c r="D256" s="4"/>
      <c r="E256" s="4"/>
    </row>
    <row r="257" customFormat="false" ht="15" hidden="false" customHeight="false" outlineLevel="0" collapsed="false">
      <c r="A257" s="8"/>
      <c r="B257" s="4"/>
      <c r="C257" s="4"/>
      <c r="D257" s="4"/>
      <c r="E257" s="4"/>
    </row>
    <row r="258" customFormat="false" ht="15" hidden="false" customHeight="false" outlineLevel="0" collapsed="false">
      <c r="A258" s="8"/>
      <c r="B258" s="4"/>
      <c r="C258" s="4"/>
      <c r="D258" s="4"/>
      <c r="E258" s="4"/>
    </row>
    <row r="259" customFormat="false" ht="15" hidden="false" customHeight="false" outlineLevel="0" collapsed="false">
      <c r="A259" s="8"/>
      <c r="B259" s="4"/>
      <c r="C259" s="4"/>
      <c r="D259" s="4"/>
      <c r="E259" s="4"/>
    </row>
    <row r="260" customFormat="false" ht="15" hidden="false" customHeight="false" outlineLevel="0" collapsed="false">
      <c r="A260" s="8"/>
      <c r="B260" s="4"/>
      <c r="C260" s="4"/>
      <c r="D260" s="4"/>
      <c r="E260" s="4"/>
    </row>
    <row r="261" customFormat="false" ht="15" hidden="false" customHeight="false" outlineLevel="0" collapsed="false">
      <c r="A261" s="8"/>
      <c r="B261" s="4"/>
      <c r="C261" s="4"/>
      <c r="D261" s="4"/>
      <c r="E261" s="4"/>
    </row>
    <row r="262" customFormat="false" ht="15" hidden="false" customHeight="false" outlineLevel="0" collapsed="false">
      <c r="A262" s="8"/>
      <c r="B262" s="4"/>
      <c r="C262" s="4"/>
      <c r="D262" s="4"/>
      <c r="E262" s="4"/>
    </row>
    <row r="263" customFormat="false" ht="15" hidden="false" customHeight="false" outlineLevel="0" collapsed="false">
      <c r="A263" s="8"/>
      <c r="B263" s="4"/>
      <c r="C263" s="4"/>
      <c r="D263" s="4"/>
      <c r="E263" s="4"/>
    </row>
    <row r="264" customFormat="false" ht="15" hidden="false" customHeight="false" outlineLevel="0" collapsed="false">
      <c r="A264" s="8"/>
      <c r="B264" s="4"/>
      <c r="C264" s="4"/>
      <c r="D264" s="4"/>
      <c r="E264" s="4"/>
    </row>
    <row r="265" customFormat="false" ht="15" hidden="false" customHeight="false" outlineLevel="0" collapsed="false">
      <c r="A265" s="8"/>
      <c r="B265" s="4"/>
      <c r="C265" s="4"/>
      <c r="D265" s="4"/>
      <c r="E265" s="4"/>
    </row>
    <row r="266" customFormat="false" ht="15" hidden="false" customHeight="false" outlineLevel="0" collapsed="false">
      <c r="A266" s="8"/>
      <c r="B266" s="4"/>
      <c r="C266" s="4"/>
      <c r="D266" s="4"/>
      <c r="E266" s="4"/>
    </row>
    <row r="267" customFormat="false" ht="15" hidden="false" customHeight="false" outlineLevel="0" collapsed="false">
      <c r="A267" s="8"/>
      <c r="B267" s="4"/>
      <c r="C267" s="4"/>
      <c r="D267" s="4"/>
      <c r="E267" s="4"/>
    </row>
    <row r="268" customFormat="false" ht="15" hidden="false" customHeight="false" outlineLevel="0" collapsed="false">
      <c r="A268" s="8"/>
      <c r="B268" s="4"/>
      <c r="C268" s="4"/>
      <c r="D268" s="4"/>
      <c r="E268" s="4"/>
    </row>
    <row r="269" customFormat="false" ht="15" hidden="false" customHeight="false" outlineLevel="0" collapsed="false">
      <c r="A269" s="8"/>
      <c r="B269" s="4"/>
      <c r="C269" s="4"/>
      <c r="D269" s="4"/>
      <c r="E269" s="4"/>
    </row>
    <row r="270" customFormat="false" ht="15" hidden="false" customHeight="false" outlineLevel="0" collapsed="false">
      <c r="A270" s="8"/>
      <c r="B270" s="4"/>
      <c r="C270" s="4"/>
      <c r="D270" s="4"/>
      <c r="E270" s="4"/>
    </row>
    <row r="271" customFormat="false" ht="15" hidden="false" customHeight="false" outlineLevel="0" collapsed="false">
      <c r="A271" s="8"/>
      <c r="B271" s="4"/>
      <c r="C271" s="4"/>
      <c r="D271" s="4"/>
      <c r="E271" s="4"/>
    </row>
    <row r="272" customFormat="false" ht="15" hidden="false" customHeight="false" outlineLevel="0" collapsed="false">
      <c r="A272" s="8"/>
      <c r="B272" s="4"/>
      <c r="C272" s="4"/>
      <c r="D272" s="4"/>
      <c r="E272" s="4"/>
    </row>
    <row r="273" customFormat="false" ht="15" hidden="false" customHeight="false" outlineLevel="0" collapsed="false">
      <c r="A273" s="8"/>
      <c r="B273" s="4"/>
      <c r="C273" s="4"/>
      <c r="D273" s="4"/>
      <c r="E273" s="4"/>
    </row>
    <row r="274" customFormat="false" ht="15" hidden="false" customHeight="false" outlineLevel="0" collapsed="false">
      <c r="A274" s="8"/>
      <c r="B274" s="4"/>
      <c r="C274" s="4"/>
      <c r="D274" s="4"/>
      <c r="E274" s="4"/>
    </row>
    <row r="275" customFormat="false" ht="15" hidden="false" customHeight="false" outlineLevel="0" collapsed="false">
      <c r="A275" s="8"/>
      <c r="B275" s="4"/>
      <c r="C275" s="4"/>
      <c r="D275" s="4"/>
      <c r="E275" s="4"/>
    </row>
    <row r="276" customFormat="false" ht="15" hidden="false" customHeight="false" outlineLevel="0" collapsed="false">
      <c r="A276" s="8"/>
      <c r="B276" s="4"/>
      <c r="C276" s="4"/>
      <c r="D276" s="4"/>
      <c r="E276" s="4"/>
    </row>
    <row r="277" customFormat="false" ht="15" hidden="false" customHeight="false" outlineLevel="0" collapsed="false">
      <c r="A277" s="8"/>
      <c r="B277" s="4"/>
      <c r="C277" s="4"/>
      <c r="D277" s="4"/>
      <c r="E277" s="4"/>
    </row>
    <row r="278" customFormat="false" ht="15" hidden="false" customHeight="false" outlineLevel="0" collapsed="false">
      <c r="A278" s="8"/>
      <c r="B278" s="4"/>
      <c r="C278" s="4"/>
      <c r="D278" s="4"/>
      <c r="E278" s="4"/>
    </row>
    <row r="279" customFormat="false" ht="15" hidden="false" customHeight="false" outlineLevel="0" collapsed="false">
      <c r="A279" s="8"/>
      <c r="B279" s="4"/>
      <c r="C279" s="4"/>
      <c r="D279" s="4"/>
      <c r="E279" s="4"/>
    </row>
    <row r="280" customFormat="false" ht="15" hidden="false" customHeight="false" outlineLevel="0" collapsed="false">
      <c r="A280" s="8"/>
      <c r="B280" s="4"/>
      <c r="C280" s="4"/>
      <c r="D280" s="4"/>
      <c r="E280" s="4"/>
    </row>
    <row r="281" customFormat="false" ht="15" hidden="false" customHeight="false" outlineLevel="0" collapsed="false">
      <c r="A281" s="8"/>
      <c r="B281" s="4"/>
      <c r="C281" s="4"/>
      <c r="D281" s="4"/>
      <c r="E281" s="4"/>
    </row>
    <row r="282" customFormat="false" ht="15" hidden="false" customHeight="false" outlineLevel="0" collapsed="false">
      <c r="A282" s="8"/>
      <c r="B282" s="4"/>
      <c r="C282" s="4"/>
      <c r="D282" s="4"/>
      <c r="E282" s="4"/>
    </row>
    <row r="283" customFormat="false" ht="15" hidden="false" customHeight="false" outlineLevel="0" collapsed="false">
      <c r="A283" s="8"/>
      <c r="B283" s="4"/>
      <c r="C283" s="4"/>
      <c r="D283" s="4"/>
      <c r="E283" s="4"/>
    </row>
    <row r="284" customFormat="false" ht="15" hidden="false" customHeight="false" outlineLevel="0" collapsed="false">
      <c r="A284" s="8"/>
      <c r="B284" s="4"/>
      <c r="C284" s="4"/>
      <c r="D284" s="4"/>
      <c r="E284" s="4"/>
    </row>
    <row r="285" customFormat="false" ht="15" hidden="false" customHeight="false" outlineLevel="0" collapsed="false">
      <c r="A285" s="8"/>
      <c r="B285" s="4"/>
      <c r="C285" s="4"/>
      <c r="D285" s="4"/>
      <c r="E285" s="4"/>
    </row>
    <row r="286" customFormat="false" ht="15" hidden="false" customHeight="false" outlineLevel="0" collapsed="false">
      <c r="A286" s="8"/>
      <c r="B286" s="4"/>
      <c r="C286" s="4"/>
      <c r="D286" s="4"/>
      <c r="E286" s="4"/>
    </row>
    <row r="287" customFormat="false" ht="15" hidden="false" customHeight="false" outlineLevel="0" collapsed="false">
      <c r="A287" s="8"/>
      <c r="B287" s="4"/>
      <c r="C287" s="4"/>
      <c r="D287" s="4"/>
      <c r="E287" s="4"/>
    </row>
    <row r="288" customFormat="false" ht="15" hidden="false" customHeight="false" outlineLevel="0" collapsed="false">
      <c r="A288" s="8"/>
      <c r="B288" s="4"/>
      <c r="C288" s="4"/>
      <c r="D288" s="4"/>
      <c r="E288" s="4"/>
    </row>
    <row r="289" customFormat="false" ht="15" hidden="false" customHeight="false" outlineLevel="0" collapsed="false">
      <c r="A289" s="8"/>
      <c r="B289" s="4"/>
      <c r="C289" s="4"/>
      <c r="D289" s="4"/>
      <c r="E289" s="4"/>
    </row>
    <row r="290" customFormat="false" ht="15" hidden="false" customHeight="false" outlineLevel="0" collapsed="false">
      <c r="A290" s="8"/>
      <c r="B290" s="4"/>
      <c r="C290" s="4"/>
      <c r="D290" s="4"/>
      <c r="E290" s="4"/>
    </row>
    <row r="291" customFormat="false" ht="15" hidden="false" customHeight="false" outlineLevel="0" collapsed="false">
      <c r="A291" s="8"/>
      <c r="B291" s="4"/>
      <c r="C291" s="4"/>
      <c r="D291" s="4"/>
      <c r="E291" s="4"/>
    </row>
    <row r="292" customFormat="false" ht="15" hidden="false" customHeight="false" outlineLevel="0" collapsed="false">
      <c r="A292" s="8"/>
      <c r="B292" s="4"/>
      <c r="C292" s="4"/>
      <c r="D292" s="4"/>
      <c r="E292" s="4"/>
    </row>
    <row r="293" customFormat="false" ht="15" hidden="false" customHeight="false" outlineLevel="0" collapsed="false">
      <c r="A293" s="8"/>
      <c r="B293" s="4"/>
      <c r="C293" s="4"/>
      <c r="D293" s="4"/>
      <c r="E293" s="4"/>
    </row>
    <row r="294" customFormat="false" ht="15" hidden="false" customHeight="false" outlineLevel="0" collapsed="false">
      <c r="A294" s="8"/>
      <c r="B294" s="4"/>
      <c r="C294" s="4"/>
      <c r="D294" s="4"/>
      <c r="E294" s="4"/>
    </row>
    <row r="295" customFormat="false" ht="15" hidden="false" customHeight="false" outlineLevel="0" collapsed="false">
      <c r="A295" s="8"/>
      <c r="B295" s="4"/>
      <c r="C295" s="4"/>
      <c r="D295" s="4"/>
      <c r="E295" s="4"/>
    </row>
    <row r="296" customFormat="false" ht="15" hidden="false" customHeight="false" outlineLevel="0" collapsed="false">
      <c r="A296" s="8"/>
      <c r="B296" s="4"/>
      <c r="C296" s="4"/>
      <c r="D296" s="4"/>
      <c r="E296" s="4"/>
    </row>
    <row r="297" customFormat="false" ht="15" hidden="false" customHeight="false" outlineLevel="0" collapsed="false">
      <c r="A297" s="8"/>
      <c r="B297" s="4"/>
      <c r="C297" s="4"/>
      <c r="D297" s="4"/>
      <c r="E297" s="4"/>
    </row>
    <row r="298" customFormat="false" ht="15" hidden="false" customHeight="false" outlineLevel="0" collapsed="false">
      <c r="A298" s="8"/>
      <c r="B298" s="4"/>
      <c r="C298" s="4"/>
      <c r="D298" s="4"/>
      <c r="E298" s="4"/>
    </row>
    <row r="299" customFormat="false" ht="15" hidden="false" customHeight="false" outlineLevel="0" collapsed="false">
      <c r="A299" s="8"/>
      <c r="B299" s="4"/>
      <c r="C299" s="4"/>
      <c r="D299" s="4"/>
      <c r="E299" s="4"/>
    </row>
    <row r="300" customFormat="false" ht="15" hidden="false" customHeight="false" outlineLevel="0" collapsed="false">
      <c r="A300" s="8"/>
      <c r="B300" s="4"/>
      <c r="C300" s="4"/>
      <c r="D300" s="4"/>
      <c r="E300" s="4"/>
    </row>
    <row r="301" customFormat="false" ht="15" hidden="false" customHeight="false" outlineLevel="0" collapsed="false">
      <c r="A301" s="8"/>
      <c r="B301" s="4"/>
      <c r="C301" s="4"/>
      <c r="D301" s="4"/>
      <c r="E301" s="4"/>
    </row>
    <row r="302" customFormat="false" ht="15" hidden="false" customHeight="false" outlineLevel="0" collapsed="false">
      <c r="A302" s="8"/>
      <c r="B302" s="4"/>
      <c r="C302" s="4"/>
      <c r="D302" s="4"/>
      <c r="E302" s="4"/>
    </row>
    <row r="303" customFormat="false" ht="15" hidden="false" customHeight="false" outlineLevel="0" collapsed="false">
      <c r="A303" s="8"/>
      <c r="B303" s="4"/>
      <c r="C303" s="4"/>
      <c r="D303" s="4"/>
      <c r="E303" s="4"/>
    </row>
    <row r="304" customFormat="false" ht="15" hidden="false" customHeight="false" outlineLevel="0" collapsed="false">
      <c r="A304" s="8"/>
      <c r="B304" s="4"/>
      <c r="C304" s="4"/>
      <c r="D304" s="4"/>
      <c r="E304" s="4"/>
    </row>
  </sheetData>
  <dataValidations count="1">
    <dataValidation allowBlank="true" errorStyle="stop" operator="between" showDropDown="false" showErrorMessage="false" showInputMessage="false" sqref="B5:B304" type="list">
      <formula1>"Receive,Build,Sell,Adjust"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0"/>
    <col collapsed="false" customWidth="true" hidden="false" outlineLevel="0" max="4" min="4" style="0" width="16"/>
    <col collapsed="false" customWidth="true" hidden="false" outlineLevel="0" max="5" min="5" style="0" width="32"/>
    <col collapsed="false" customWidth="true" hidden="false" outlineLevel="0" max="6" min="6" style="0" width="22"/>
  </cols>
  <sheetData>
    <row r="1" customFormat="false" ht="16.15" hidden="false" customHeight="false" outlineLevel="0" collapsed="false">
      <c r="A1" s="1" t="s">
        <v>94</v>
      </c>
    </row>
    <row r="2" customFormat="false" ht="25.5" hidden="false" customHeight="true" outlineLevel="0" collapsed="false">
      <c r="A2" s="2" t="s">
        <v>95</v>
      </c>
    </row>
    <row r="3" customFormat="false" ht="15" hidden="false" customHeight="false" outlineLevel="0" collapsed="false">
      <c r="A3" s="9" t="s">
        <v>96</v>
      </c>
      <c r="B3" s="4" t="s">
        <v>97</v>
      </c>
      <c r="D3" s="2" t="s">
        <v>98</v>
      </c>
    </row>
    <row r="4" customFormat="false" ht="33.75" hidden="false" customHeight="true" outlineLevel="0" collapsed="false">
      <c r="A4" s="3" t="s">
        <v>99</v>
      </c>
      <c r="B4" s="3" t="s">
        <v>84</v>
      </c>
      <c r="C4" s="3" t="s">
        <v>48</v>
      </c>
      <c r="D4" s="3" t="s">
        <v>100</v>
      </c>
      <c r="E4" s="3" t="s">
        <v>46</v>
      </c>
      <c r="F4" s="3" t="s">
        <v>101</v>
      </c>
    </row>
    <row r="5" customFormat="false" ht="15" hidden="false" customHeight="false" outlineLevel="0" collapsed="false">
      <c r="A5" s="4" t="s">
        <v>56</v>
      </c>
      <c r="B5" s="5" t="n">
        <f aca="false">IF($D5="","",IF($B$3="Can pack now",INDEX('C Kits'!$F$5:$F$104,MATCH($A5,'C Kits'!$C$5:$C$104,0)),INDEX('C Kits'!$G$5:$G$104,MATCH($A5,'C Kits'!$C$5:$C$104,0))))</f>
        <v>11</v>
      </c>
      <c r="C5" s="10" t="n">
        <f aca="false">IF($D5="","",INDEX('C Kits'!$D$5:$D$104,MATCH($A5,'C Kits'!$C$5:$C$104,0)))</f>
        <v>899</v>
      </c>
      <c r="D5" s="5" t="str">
        <f aca="false">IF($A5="","",IFERROR(INDEX('C Kits'!$A$5:$A$104,MATCH($A5,'C Kits'!$C$5:$C$104,0)),""))</f>
        <v>C-1ST-BDAY</v>
      </c>
      <c r="E5" s="5" t="str">
        <f aca="false">IF($D5="","",INDEX('C Kits'!$B$5:$B$104,MATCH($A5,'C Kits'!$C$5:$C$104,0)))</f>
        <v>First Birthday Kit</v>
      </c>
      <c r="F5" s="5" t="str">
        <f aca="false">IF($A5="","",IF($D5="","No kit for this SKU",IF(INDEX('C Kits'!$I$5:$I$104,MATCH($A5,'C Kits'!$C$5:$C$104,0))&lt;&gt;"","Matched — shares parts","Matched")))</f>
        <v>Matched — shares parts</v>
      </c>
    </row>
    <row r="6" customFormat="false" ht="15" hidden="false" customHeight="false" outlineLevel="0" collapsed="false">
      <c r="A6" s="4" t="s">
        <v>60</v>
      </c>
      <c r="B6" s="5" t="n">
        <f aca="false">IF($D6="","",IF($B$3="Can pack now",INDEX('C Kits'!$F$5:$F$104,MATCH($A6,'C Kits'!$C$5:$C$104,0)),INDEX('C Kits'!$G$5:$G$104,MATCH($A6,'C Kits'!$C$5:$C$104,0))))</f>
        <v>9</v>
      </c>
      <c r="C6" s="10" t="n">
        <f aca="false">IF($D6="","",INDEX('C Kits'!$D$5:$D$104,MATCH($A6,'C Kits'!$C$5:$C$104,0)))</f>
        <v>1299</v>
      </c>
      <c r="D6" s="5" t="str">
        <f aca="false">IF($A6="","",IFERROR(INDEX('C Kits'!$A$5:$A$104,MATCH($A6,'C Kits'!$C$5:$C$104,0)),""))</f>
        <v>C-BOX-DUO</v>
      </c>
      <c r="E6" s="5" t="str">
        <f aca="false">IF($D6="","",INDEX('C Kits'!$B$5:$B$104,MATCH($A6,'C Kits'!$C$5:$C$104,0)))</f>
        <v>Twin Box Kit</v>
      </c>
      <c r="F6" s="5" t="str">
        <f aca="false">IF($A6="","",IF($D6="","No kit for this SKU",IF(INDEX('C Kits'!$I$5:$I$104,MATCH($A6,'C Kits'!$C$5:$C$104,0))&lt;&gt;"","Matched — shares parts","Matched")))</f>
        <v>Matched — shares parts</v>
      </c>
    </row>
    <row r="7" customFormat="false" ht="15" hidden="false" customHeight="false" outlineLevel="0" collapsed="false">
      <c r="A7" s="4" t="s">
        <v>102</v>
      </c>
      <c r="B7" s="5" t="str">
        <f aca="false">IF($D7="","",IF($B$3="Can pack now",INDEX('C Kits'!$F$5:$F$104,MATCH($A7,'C Kits'!$C$5:$C$104,0)),INDEX('C Kits'!$G$5:$G$104,MATCH($A7,'C Kits'!$C$5:$C$104,0))))</f>
        <v/>
      </c>
      <c r="C7" s="10" t="str">
        <f aca="false">IF($D7="","",INDEX('C Kits'!$D$5:$D$104,MATCH($A7,'C Kits'!$C$5:$C$104,0)))</f>
        <v/>
      </c>
      <c r="D7" s="5" t="str">
        <f aca="false">IF($A7="","",IFERROR(INDEX('C Kits'!$A$5:$A$104,MATCH($A7,'C Kits'!$C$5:$C$104,0)),""))</f>
        <v/>
      </c>
      <c r="E7" s="5" t="str">
        <f aca="false">IF($D7="","",INDEX('C Kits'!$B$5:$B$104,MATCH($A7,'C Kits'!$C$5:$C$104,0)))</f>
        <v/>
      </c>
      <c r="F7" s="5" t="str">
        <f aca="false">IF($A7="","",IF($D7="","No kit for this SKU",IF(INDEX('C Kits'!$I$5:$I$104,MATCH($A7,'C Kits'!$C$5:$C$104,0))&lt;&gt;"","Matched — shares parts","Matched")))</f>
        <v>No kit for this SKU</v>
      </c>
    </row>
    <row r="8" customFormat="false" ht="15" hidden="false" customHeight="false" outlineLevel="0" collapsed="false">
      <c r="A8" s="4"/>
      <c r="B8" s="5" t="str">
        <f aca="false">IF($D8="","",IF($B$3="Can pack now",INDEX('C Kits'!$F$5:$F$104,MATCH($A8,'C Kits'!$C$5:$C$104,0)),INDEX('C Kits'!$G$5:$G$104,MATCH($A8,'C Kits'!$C$5:$C$104,0))))</f>
        <v/>
      </c>
      <c r="C8" s="10" t="str">
        <f aca="false">IF($D8="","",INDEX('C Kits'!$D$5:$D$104,MATCH($A8,'C Kits'!$C$5:$C$104,0)))</f>
        <v/>
      </c>
      <c r="D8" s="5" t="str">
        <f aca="false">IF($A8="","",IFERROR(INDEX('C Kits'!$A$5:$A$104,MATCH($A8,'C Kits'!$C$5:$C$104,0)),""))</f>
        <v/>
      </c>
      <c r="E8" s="5" t="str">
        <f aca="false">IF($D8="","",INDEX('C Kits'!$B$5:$B$104,MATCH($A8,'C Kits'!$C$5:$C$104,0)))</f>
        <v/>
      </c>
      <c r="F8" s="5" t="str">
        <f aca="false">IF($A8="","",IF($D8="","No kit for this SKU",IF(INDEX('C Kits'!$I$5:$I$104,MATCH($A8,'C Kits'!$C$5:$C$104,0))&lt;&gt;"","Matched — shares parts","Matched")))</f>
        <v/>
      </c>
    </row>
    <row r="9" customFormat="false" ht="15" hidden="false" customHeight="false" outlineLevel="0" collapsed="false">
      <c r="A9" s="4"/>
      <c r="B9" s="5" t="str">
        <f aca="false">IF($D9="","",IF($B$3="Can pack now",INDEX('C Kits'!$F$5:$F$104,MATCH($A9,'C Kits'!$C$5:$C$104,0)),INDEX('C Kits'!$G$5:$G$104,MATCH($A9,'C Kits'!$C$5:$C$104,0))))</f>
        <v/>
      </c>
      <c r="C9" s="10" t="str">
        <f aca="false">IF($D9="","",INDEX('C Kits'!$D$5:$D$104,MATCH($A9,'C Kits'!$C$5:$C$104,0)))</f>
        <v/>
      </c>
      <c r="D9" s="5" t="str">
        <f aca="false">IF($A9="","",IFERROR(INDEX('C Kits'!$A$5:$A$104,MATCH($A9,'C Kits'!$C$5:$C$104,0)),""))</f>
        <v/>
      </c>
      <c r="E9" s="5" t="str">
        <f aca="false">IF($D9="","",INDEX('C Kits'!$B$5:$B$104,MATCH($A9,'C Kits'!$C$5:$C$104,0)))</f>
        <v/>
      </c>
      <c r="F9" s="5" t="str">
        <f aca="false">IF($A9="","",IF($D9="","No kit for this SKU",IF(INDEX('C Kits'!$I$5:$I$104,MATCH($A9,'C Kits'!$C$5:$C$104,0))&lt;&gt;"","Matched — shares parts","Matched")))</f>
        <v/>
      </c>
    </row>
    <row r="10" customFormat="false" ht="15" hidden="false" customHeight="false" outlineLevel="0" collapsed="false">
      <c r="A10" s="4"/>
      <c r="B10" s="5" t="str">
        <f aca="false">IF($D10="","",IF($B$3="Can pack now",INDEX('C Kits'!$F$5:$F$104,MATCH($A10,'C Kits'!$C$5:$C$104,0)),INDEX('C Kits'!$G$5:$G$104,MATCH($A10,'C Kits'!$C$5:$C$104,0))))</f>
        <v/>
      </c>
      <c r="C10" s="10" t="str">
        <f aca="false">IF($D10="","",INDEX('C Kits'!$D$5:$D$104,MATCH($A10,'C Kits'!$C$5:$C$104,0)))</f>
        <v/>
      </c>
      <c r="D10" s="5" t="str">
        <f aca="false">IF($A10="","",IFERROR(INDEX('C Kits'!$A$5:$A$104,MATCH($A10,'C Kits'!$C$5:$C$104,0)),""))</f>
        <v/>
      </c>
      <c r="E10" s="5" t="str">
        <f aca="false">IF($D10="","",INDEX('C Kits'!$B$5:$B$104,MATCH($A10,'C Kits'!$C$5:$C$104,0)))</f>
        <v/>
      </c>
      <c r="F10" s="5" t="str">
        <f aca="false">IF($A10="","",IF($D10="","No kit for this SKU",IF(INDEX('C Kits'!$I$5:$I$104,MATCH($A10,'C Kits'!$C$5:$C$104,0))&lt;&gt;"","Matched — shares parts","Matched")))</f>
        <v/>
      </c>
    </row>
    <row r="11" customFormat="false" ht="15" hidden="false" customHeight="false" outlineLevel="0" collapsed="false">
      <c r="A11" s="4"/>
      <c r="B11" s="5" t="str">
        <f aca="false">IF($D11="","",IF($B$3="Can pack now",INDEX('C Kits'!$F$5:$F$104,MATCH($A11,'C Kits'!$C$5:$C$104,0)),INDEX('C Kits'!$G$5:$G$104,MATCH($A11,'C Kits'!$C$5:$C$104,0))))</f>
        <v/>
      </c>
      <c r="C11" s="10" t="str">
        <f aca="false">IF($D11="","",INDEX('C Kits'!$D$5:$D$104,MATCH($A11,'C Kits'!$C$5:$C$104,0)))</f>
        <v/>
      </c>
      <c r="D11" s="5" t="str">
        <f aca="false">IF($A11="","",IFERROR(INDEX('C Kits'!$A$5:$A$104,MATCH($A11,'C Kits'!$C$5:$C$104,0)),""))</f>
        <v/>
      </c>
      <c r="E11" s="5" t="str">
        <f aca="false">IF($D11="","",INDEX('C Kits'!$B$5:$B$104,MATCH($A11,'C Kits'!$C$5:$C$104,0)))</f>
        <v/>
      </c>
      <c r="F11" s="5" t="str">
        <f aca="false">IF($A11="","",IF($D11="","No kit for this SKU",IF(INDEX('C Kits'!$I$5:$I$104,MATCH($A11,'C Kits'!$C$5:$C$104,0))&lt;&gt;"","Matched — shares parts","Matched")))</f>
        <v/>
      </c>
    </row>
    <row r="12" customFormat="false" ht="15" hidden="false" customHeight="false" outlineLevel="0" collapsed="false">
      <c r="A12" s="4"/>
      <c r="B12" s="5" t="str">
        <f aca="false">IF($D12="","",IF($B$3="Can pack now",INDEX('C Kits'!$F$5:$F$104,MATCH($A12,'C Kits'!$C$5:$C$104,0)),INDEX('C Kits'!$G$5:$G$104,MATCH($A12,'C Kits'!$C$5:$C$104,0))))</f>
        <v/>
      </c>
      <c r="C12" s="10" t="str">
        <f aca="false">IF($D12="","",INDEX('C Kits'!$D$5:$D$104,MATCH($A12,'C Kits'!$C$5:$C$104,0)))</f>
        <v/>
      </c>
      <c r="D12" s="5" t="str">
        <f aca="false">IF($A12="","",IFERROR(INDEX('C Kits'!$A$5:$A$104,MATCH($A12,'C Kits'!$C$5:$C$104,0)),""))</f>
        <v/>
      </c>
      <c r="E12" s="5" t="str">
        <f aca="false">IF($D12="","",INDEX('C Kits'!$B$5:$B$104,MATCH($A12,'C Kits'!$C$5:$C$104,0)))</f>
        <v/>
      </c>
      <c r="F12" s="5" t="str">
        <f aca="false">IF($A12="","",IF($D12="","No kit for this SKU",IF(INDEX('C Kits'!$I$5:$I$104,MATCH($A12,'C Kits'!$C$5:$C$104,0))&lt;&gt;"","Matched — shares parts","Matched")))</f>
        <v/>
      </c>
    </row>
    <row r="13" customFormat="false" ht="15" hidden="false" customHeight="false" outlineLevel="0" collapsed="false">
      <c r="A13" s="4"/>
      <c r="B13" s="5" t="str">
        <f aca="false">IF($D13="","",IF($B$3="Can pack now",INDEX('C Kits'!$F$5:$F$104,MATCH($A13,'C Kits'!$C$5:$C$104,0)),INDEX('C Kits'!$G$5:$G$104,MATCH($A13,'C Kits'!$C$5:$C$104,0))))</f>
        <v/>
      </c>
      <c r="C13" s="10" t="str">
        <f aca="false">IF($D13="","",INDEX('C Kits'!$D$5:$D$104,MATCH($A13,'C Kits'!$C$5:$C$104,0)))</f>
        <v/>
      </c>
      <c r="D13" s="5" t="str">
        <f aca="false">IF($A13="","",IFERROR(INDEX('C Kits'!$A$5:$A$104,MATCH($A13,'C Kits'!$C$5:$C$104,0)),""))</f>
        <v/>
      </c>
      <c r="E13" s="5" t="str">
        <f aca="false">IF($D13="","",INDEX('C Kits'!$B$5:$B$104,MATCH($A13,'C Kits'!$C$5:$C$104,0)))</f>
        <v/>
      </c>
      <c r="F13" s="5" t="str">
        <f aca="false">IF($A13="","",IF($D13="","No kit for this SKU",IF(INDEX('C Kits'!$I$5:$I$104,MATCH($A13,'C Kits'!$C$5:$C$104,0))&lt;&gt;"","Matched — shares parts","Matched")))</f>
        <v/>
      </c>
    </row>
    <row r="14" customFormat="false" ht="15" hidden="false" customHeight="false" outlineLevel="0" collapsed="false">
      <c r="A14" s="4"/>
      <c r="B14" s="5" t="str">
        <f aca="false">IF($D14="","",IF($B$3="Can pack now",INDEX('C Kits'!$F$5:$F$104,MATCH($A14,'C Kits'!$C$5:$C$104,0)),INDEX('C Kits'!$G$5:$G$104,MATCH($A14,'C Kits'!$C$5:$C$104,0))))</f>
        <v/>
      </c>
      <c r="C14" s="10" t="str">
        <f aca="false">IF($D14="","",INDEX('C Kits'!$D$5:$D$104,MATCH($A14,'C Kits'!$C$5:$C$104,0)))</f>
        <v/>
      </c>
      <c r="D14" s="5" t="str">
        <f aca="false">IF($A14="","",IFERROR(INDEX('C Kits'!$A$5:$A$104,MATCH($A14,'C Kits'!$C$5:$C$104,0)),""))</f>
        <v/>
      </c>
      <c r="E14" s="5" t="str">
        <f aca="false">IF($D14="","",INDEX('C Kits'!$B$5:$B$104,MATCH($A14,'C Kits'!$C$5:$C$104,0)))</f>
        <v/>
      </c>
      <c r="F14" s="5" t="str">
        <f aca="false">IF($A14="","",IF($D14="","No kit for this SKU",IF(INDEX('C Kits'!$I$5:$I$104,MATCH($A14,'C Kits'!$C$5:$C$104,0))&lt;&gt;"","Matched — shares parts","Matched")))</f>
        <v/>
      </c>
    </row>
    <row r="15" customFormat="false" ht="15" hidden="false" customHeight="false" outlineLevel="0" collapsed="false">
      <c r="A15" s="4"/>
      <c r="B15" s="5" t="str">
        <f aca="false">IF($D15="","",IF($B$3="Can pack now",INDEX('C Kits'!$F$5:$F$104,MATCH($A15,'C Kits'!$C$5:$C$104,0)),INDEX('C Kits'!$G$5:$G$104,MATCH($A15,'C Kits'!$C$5:$C$104,0))))</f>
        <v/>
      </c>
      <c r="C15" s="10" t="str">
        <f aca="false">IF($D15="","",INDEX('C Kits'!$D$5:$D$104,MATCH($A15,'C Kits'!$C$5:$C$104,0)))</f>
        <v/>
      </c>
      <c r="D15" s="5" t="str">
        <f aca="false">IF($A15="","",IFERROR(INDEX('C Kits'!$A$5:$A$104,MATCH($A15,'C Kits'!$C$5:$C$104,0)),""))</f>
        <v/>
      </c>
      <c r="E15" s="5" t="str">
        <f aca="false">IF($D15="","",INDEX('C Kits'!$B$5:$B$104,MATCH($A15,'C Kits'!$C$5:$C$104,0)))</f>
        <v/>
      </c>
      <c r="F15" s="5" t="str">
        <f aca="false">IF($A15="","",IF($D15="","No kit for this SKU",IF(INDEX('C Kits'!$I$5:$I$104,MATCH($A15,'C Kits'!$C$5:$C$104,0))&lt;&gt;"","Matched — shares parts","Matched")))</f>
        <v/>
      </c>
    </row>
    <row r="16" customFormat="false" ht="15" hidden="false" customHeight="false" outlineLevel="0" collapsed="false">
      <c r="A16" s="4"/>
      <c r="B16" s="5" t="str">
        <f aca="false">IF($D16="","",IF($B$3="Can pack now",INDEX('C Kits'!$F$5:$F$104,MATCH($A16,'C Kits'!$C$5:$C$104,0)),INDEX('C Kits'!$G$5:$G$104,MATCH($A16,'C Kits'!$C$5:$C$104,0))))</f>
        <v/>
      </c>
      <c r="C16" s="10" t="str">
        <f aca="false">IF($D16="","",INDEX('C Kits'!$D$5:$D$104,MATCH($A16,'C Kits'!$C$5:$C$104,0)))</f>
        <v/>
      </c>
      <c r="D16" s="5" t="str">
        <f aca="false">IF($A16="","",IFERROR(INDEX('C Kits'!$A$5:$A$104,MATCH($A16,'C Kits'!$C$5:$C$104,0)),""))</f>
        <v/>
      </c>
      <c r="E16" s="5" t="str">
        <f aca="false">IF($D16="","",INDEX('C Kits'!$B$5:$B$104,MATCH($A16,'C Kits'!$C$5:$C$104,0)))</f>
        <v/>
      </c>
      <c r="F16" s="5" t="str">
        <f aca="false">IF($A16="","",IF($D16="","No kit for this SKU",IF(INDEX('C Kits'!$I$5:$I$104,MATCH($A16,'C Kits'!$C$5:$C$104,0))&lt;&gt;"","Matched — shares parts","Matched")))</f>
        <v/>
      </c>
    </row>
    <row r="17" customFormat="false" ht="15" hidden="false" customHeight="false" outlineLevel="0" collapsed="false">
      <c r="A17" s="4"/>
      <c r="B17" s="5" t="str">
        <f aca="false">IF($D17="","",IF($B$3="Can pack now",INDEX('C Kits'!$F$5:$F$104,MATCH($A17,'C Kits'!$C$5:$C$104,0)),INDEX('C Kits'!$G$5:$G$104,MATCH($A17,'C Kits'!$C$5:$C$104,0))))</f>
        <v/>
      </c>
      <c r="C17" s="10" t="str">
        <f aca="false">IF($D17="","",INDEX('C Kits'!$D$5:$D$104,MATCH($A17,'C Kits'!$C$5:$C$104,0)))</f>
        <v/>
      </c>
      <c r="D17" s="5" t="str">
        <f aca="false">IF($A17="","",IFERROR(INDEX('C Kits'!$A$5:$A$104,MATCH($A17,'C Kits'!$C$5:$C$104,0)),""))</f>
        <v/>
      </c>
      <c r="E17" s="5" t="str">
        <f aca="false">IF($D17="","",INDEX('C Kits'!$B$5:$B$104,MATCH($A17,'C Kits'!$C$5:$C$104,0)))</f>
        <v/>
      </c>
      <c r="F17" s="5" t="str">
        <f aca="false">IF($A17="","",IF($D17="","No kit for this SKU",IF(INDEX('C Kits'!$I$5:$I$104,MATCH($A17,'C Kits'!$C$5:$C$104,0))&lt;&gt;"","Matched — shares parts","Matched")))</f>
        <v/>
      </c>
    </row>
    <row r="18" customFormat="false" ht="15" hidden="false" customHeight="false" outlineLevel="0" collapsed="false">
      <c r="A18" s="4"/>
      <c r="B18" s="5" t="str">
        <f aca="false">IF($D18="","",IF($B$3="Can pack now",INDEX('C Kits'!$F$5:$F$104,MATCH($A18,'C Kits'!$C$5:$C$104,0)),INDEX('C Kits'!$G$5:$G$104,MATCH($A18,'C Kits'!$C$5:$C$104,0))))</f>
        <v/>
      </c>
      <c r="C18" s="10" t="str">
        <f aca="false">IF($D18="","",INDEX('C Kits'!$D$5:$D$104,MATCH($A18,'C Kits'!$C$5:$C$104,0)))</f>
        <v/>
      </c>
      <c r="D18" s="5" t="str">
        <f aca="false">IF($A18="","",IFERROR(INDEX('C Kits'!$A$5:$A$104,MATCH($A18,'C Kits'!$C$5:$C$104,0)),""))</f>
        <v/>
      </c>
      <c r="E18" s="5" t="str">
        <f aca="false">IF($D18="","",INDEX('C Kits'!$B$5:$B$104,MATCH($A18,'C Kits'!$C$5:$C$104,0)))</f>
        <v/>
      </c>
      <c r="F18" s="5" t="str">
        <f aca="false">IF($A18="","",IF($D18="","No kit for this SKU",IF(INDEX('C Kits'!$I$5:$I$104,MATCH($A18,'C Kits'!$C$5:$C$104,0))&lt;&gt;"","Matched — shares parts","Matched")))</f>
        <v/>
      </c>
    </row>
    <row r="19" customFormat="false" ht="15" hidden="false" customHeight="false" outlineLevel="0" collapsed="false">
      <c r="A19" s="4"/>
      <c r="B19" s="5" t="str">
        <f aca="false">IF($D19="","",IF($B$3="Can pack now",INDEX('C Kits'!$F$5:$F$104,MATCH($A19,'C Kits'!$C$5:$C$104,0)),INDEX('C Kits'!$G$5:$G$104,MATCH($A19,'C Kits'!$C$5:$C$104,0))))</f>
        <v/>
      </c>
      <c r="C19" s="10" t="str">
        <f aca="false">IF($D19="","",INDEX('C Kits'!$D$5:$D$104,MATCH($A19,'C Kits'!$C$5:$C$104,0)))</f>
        <v/>
      </c>
      <c r="D19" s="5" t="str">
        <f aca="false">IF($A19="","",IFERROR(INDEX('C Kits'!$A$5:$A$104,MATCH($A19,'C Kits'!$C$5:$C$104,0)),""))</f>
        <v/>
      </c>
      <c r="E19" s="5" t="str">
        <f aca="false">IF($D19="","",INDEX('C Kits'!$B$5:$B$104,MATCH($A19,'C Kits'!$C$5:$C$104,0)))</f>
        <v/>
      </c>
      <c r="F19" s="5" t="str">
        <f aca="false">IF($A19="","",IF($D19="","No kit for this SKU",IF(INDEX('C Kits'!$I$5:$I$104,MATCH($A19,'C Kits'!$C$5:$C$104,0))&lt;&gt;"","Matched — shares parts","Matched")))</f>
        <v/>
      </c>
    </row>
    <row r="20" customFormat="false" ht="15" hidden="false" customHeight="false" outlineLevel="0" collapsed="false">
      <c r="A20" s="4"/>
      <c r="B20" s="5" t="str">
        <f aca="false">IF($D20="","",IF($B$3="Can pack now",INDEX('C Kits'!$F$5:$F$104,MATCH($A20,'C Kits'!$C$5:$C$104,0)),INDEX('C Kits'!$G$5:$G$104,MATCH($A20,'C Kits'!$C$5:$C$104,0))))</f>
        <v/>
      </c>
      <c r="C20" s="10" t="str">
        <f aca="false">IF($D20="","",INDEX('C Kits'!$D$5:$D$104,MATCH($A20,'C Kits'!$C$5:$C$104,0)))</f>
        <v/>
      </c>
      <c r="D20" s="5" t="str">
        <f aca="false">IF($A20="","",IFERROR(INDEX('C Kits'!$A$5:$A$104,MATCH($A20,'C Kits'!$C$5:$C$104,0)),""))</f>
        <v/>
      </c>
      <c r="E20" s="5" t="str">
        <f aca="false">IF($D20="","",INDEX('C Kits'!$B$5:$B$104,MATCH($A20,'C Kits'!$C$5:$C$104,0)))</f>
        <v/>
      </c>
      <c r="F20" s="5" t="str">
        <f aca="false">IF($A20="","",IF($D20="","No kit for this SKU",IF(INDEX('C Kits'!$I$5:$I$104,MATCH($A20,'C Kits'!$C$5:$C$104,0))&lt;&gt;"","Matched — shares parts","Matched")))</f>
        <v/>
      </c>
    </row>
    <row r="21" customFormat="false" ht="15" hidden="false" customHeight="false" outlineLevel="0" collapsed="false">
      <c r="A21" s="4"/>
      <c r="B21" s="5" t="str">
        <f aca="false">IF($D21="","",IF($B$3="Can pack now",INDEX('C Kits'!$F$5:$F$104,MATCH($A21,'C Kits'!$C$5:$C$104,0)),INDEX('C Kits'!$G$5:$G$104,MATCH($A21,'C Kits'!$C$5:$C$104,0))))</f>
        <v/>
      </c>
      <c r="C21" s="10" t="str">
        <f aca="false">IF($D21="","",INDEX('C Kits'!$D$5:$D$104,MATCH($A21,'C Kits'!$C$5:$C$104,0)))</f>
        <v/>
      </c>
      <c r="D21" s="5" t="str">
        <f aca="false">IF($A21="","",IFERROR(INDEX('C Kits'!$A$5:$A$104,MATCH($A21,'C Kits'!$C$5:$C$104,0)),""))</f>
        <v/>
      </c>
      <c r="E21" s="5" t="str">
        <f aca="false">IF($D21="","",INDEX('C Kits'!$B$5:$B$104,MATCH($A21,'C Kits'!$C$5:$C$104,0)))</f>
        <v/>
      </c>
      <c r="F21" s="5" t="str">
        <f aca="false">IF($A21="","",IF($D21="","No kit for this SKU",IF(INDEX('C Kits'!$I$5:$I$104,MATCH($A21,'C Kits'!$C$5:$C$104,0))&lt;&gt;"","Matched — shares parts","Matched")))</f>
        <v/>
      </c>
    </row>
    <row r="22" customFormat="false" ht="15" hidden="false" customHeight="false" outlineLevel="0" collapsed="false">
      <c r="A22" s="4"/>
      <c r="B22" s="5" t="str">
        <f aca="false">IF($D22="","",IF($B$3="Can pack now",INDEX('C Kits'!$F$5:$F$104,MATCH($A22,'C Kits'!$C$5:$C$104,0)),INDEX('C Kits'!$G$5:$G$104,MATCH($A22,'C Kits'!$C$5:$C$104,0))))</f>
        <v/>
      </c>
      <c r="C22" s="10" t="str">
        <f aca="false">IF($D22="","",INDEX('C Kits'!$D$5:$D$104,MATCH($A22,'C Kits'!$C$5:$C$104,0)))</f>
        <v/>
      </c>
      <c r="D22" s="5" t="str">
        <f aca="false">IF($A22="","",IFERROR(INDEX('C Kits'!$A$5:$A$104,MATCH($A22,'C Kits'!$C$5:$C$104,0)),""))</f>
        <v/>
      </c>
      <c r="E22" s="5" t="str">
        <f aca="false">IF($D22="","",INDEX('C Kits'!$B$5:$B$104,MATCH($A22,'C Kits'!$C$5:$C$104,0)))</f>
        <v/>
      </c>
      <c r="F22" s="5" t="str">
        <f aca="false">IF($A22="","",IF($D22="","No kit for this SKU",IF(INDEX('C Kits'!$I$5:$I$104,MATCH($A22,'C Kits'!$C$5:$C$104,0))&lt;&gt;"","Matched — shares parts","Matched")))</f>
        <v/>
      </c>
    </row>
    <row r="23" customFormat="false" ht="15" hidden="false" customHeight="false" outlineLevel="0" collapsed="false">
      <c r="A23" s="4"/>
      <c r="B23" s="5" t="str">
        <f aca="false">IF($D23="","",IF($B$3="Can pack now",INDEX('C Kits'!$F$5:$F$104,MATCH($A23,'C Kits'!$C$5:$C$104,0)),INDEX('C Kits'!$G$5:$G$104,MATCH($A23,'C Kits'!$C$5:$C$104,0))))</f>
        <v/>
      </c>
      <c r="C23" s="10" t="str">
        <f aca="false">IF($D23="","",INDEX('C Kits'!$D$5:$D$104,MATCH($A23,'C Kits'!$C$5:$C$104,0)))</f>
        <v/>
      </c>
      <c r="D23" s="5" t="str">
        <f aca="false">IF($A23="","",IFERROR(INDEX('C Kits'!$A$5:$A$104,MATCH($A23,'C Kits'!$C$5:$C$104,0)),""))</f>
        <v/>
      </c>
      <c r="E23" s="5" t="str">
        <f aca="false">IF($D23="","",INDEX('C Kits'!$B$5:$B$104,MATCH($A23,'C Kits'!$C$5:$C$104,0)))</f>
        <v/>
      </c>
      <c r="F23" s="5" t="str">
        <f aca="false">IF($A23="","",IF($D23="","No kit for this SKU",IF(INDEX('C Kits'!$I$5:$I$104,MATCH($A23,'C Kits'!$C$5:$C$104,0))&lt;&gt;"","Matched — shares parts","Matched")))</f>
        <v/>
      </c>
    </row>
    <row r="24" customFormat="false" ht="15" hidden="false" customHeight="false" outlineLevel="0" collapsed="false">
      <c r="A24" s="4"/>
      <c r="B24" s="5" t="str">
        <f aca="false">IF($D24="","",IF($B$3="Can pack now",INDEX('C Kits'!$F$5:$F$104,MATCH($A24,'C Kits'!$C$5:$C$104,0)),INDEX('C Kits'!$G$5:$G$104,MATCH($A24,'C Kits'!$C$5:$C$104,0))))</f>
        <v/>
      </c>
      <c r="C24" s="10" t="str">
        <f aca="false">IF($D24="","",INDEX('C Kits'!$D$5:$D$104,MATCH($A24,'C Kits'!$C$5:$C$104,0)))</f>
        <v/>
      </c>
      <c r="D24" s="5" t="str">
        <f aca="false">IF($A24="","",IFERROR(INDEX('C Kits'!$A$5:$A$104,MATCH($A24,'C Kits'!$C$5:$C$104,0)),""))</f>
        <v/>
      </c>
      <c r="E24" s="5" t="str">
        <f aca="false">IF($D24="","",INDEX('C Kits'!$B$5:$B$104,MATCH($A24,'C Kits'!$C$5:$C$104,0)))</f>
        <v/>
      </c>
      <c r="F24" s="5" t="str">
        <f aca="false">IF($A24="","",IF($D24="","No kit for this SKU",IF(INDEX('C Kits'!$I$5:$I$104,MATCH($A24,'C Kits'!$C$5:$C$104,0))&lt;&gt;"","Matched — shares parts","Matched")))</f>
        <v/>
      </c>
    </row>
    <row r="25" customFormat="false" ht="15" hidden="false" customHeight="false" outlineLevel="0" collapsed="false">
      <c r="A25" s="4"/>
      <c r="B25" s="5" t="str">
        <f aca="false">IF($D25="","",IF($B$3="Can pack now",INDEX('C Kits'!$F$5:$F$104,MATCH($A25,'C Kits'!$C$5:$C$104,0)),INDEX('C Kits'!$G$5:$G$104,MATCH($A25,'C Kits'!$C$5:$C$104,0))))</f>
        <v/>
      </c>
      <c r="C25" s="10" t="str">
        <f aca="false">IF($D25="","",INDEX('C Kits'!$D$5:$D$104,MATCH($A25,'C Kits'!$C$5:$C$104,0)))</f>
        <v/>
      </c>
      <c r="D25" s="5" t="str">
        <f aca="false">IF($A25="","",IFERROR(INDEX('C Kits'!$A$5:$A$104,MATCH($A25,'C Kits'!$C$5:$C$104,0)),""))</f>
        <v/>
      </c>
      <c r="E25" s="5" t="str">
        <f aca="false">IF($D25="","",INDEX('C Kits'!$B$5:$B$104,MATCH($A25,'C Kits'!$C$5:$C$104,0)))</f>
        <v/>
      </c>
      <c r="F25" s="5" t="str">
        <f aca="false">IF($A25="","",IF($D25="","No kit for this SKU",IF(INDEX('C Kits'!$I$5:$I$104,MATCH($A25,'C Kits'!$C$5:$C$104,0))&lt;&gt;"","Matched — shares parts","Matched")))</f>
        <v/>
      </c>
    </row>
    <row r="26" customFormat="false" ht="15" hidden="false" customHeight="false" outlineLevel="0" collapsed="false">
      <c r="A26" s="4"/>
      <c r="B26" s="5" t="str">
        <f aca="false">IF($D26="","",IF($B$3="Can pack now",INDEX('C Kits'!$F$5:$F$104,MATCH($A26,'C Kits'!$C$5:$C$104,0)),INDEX('C Kits'!$G$5:$G$104,MATCH($A26,'C Kits'!$C$5:$C$104,0))))</f>
        <v/>
      </c>
      <c r="C26" s="10" t="str">
        <f aca="false">IF($D26="","",INDEX('C Kits'!$D$5:$D$104,MATCH($A26,'C Kits'!$C$5:$C$104,0)))</f>
        <v/>
      </c>
      <c r="D26" s="5" t="str">
        <f aca="false">IF($A26="","",IFERROR(INDEX('C Kits'!$A$5:$A$104,MATCH($A26,'C Kits'!$C$5:$C$104,0)),""))</f>
        <v/>
      </c>
      <c r="E26" s="5" t="str">
        <f aca="false">IF($D26="","",INDEX('C Kits'!$B$5:$B$104,MATCH($A26,'C Kits'!$C$5:$C$104,0)))</f>
        <v/>
      </c>
      <c r="F26" s="5" t="str">
        <f aca="false">IF($A26="","",IF($D26="","No kit for this SKU",IF(INDEX('C Kits'!$I$5:$I$104,MATCH($A26,'C Kits'!$C$5:$C$104,0))&lt;&gt;"","Matched — shares parts","Matched")))</f>
        <v/>
      </c>
    </row>
    <row r="27" customFormat="false" ht="15" hidden="false" customHeight="false" outlineLevel="0" collapsed="false">
      <c r="A27" s="4"/>
      <c r="B27" s="5" t="str">
        <f aca="false">IF($D27="","",IF($B$3="Can pack now",INDEX('C Kits'!$F$5:$F$104,MATCH($A27,'C Kits'!$C$5:$C$104,0)),INDEX('C Kits'!$G$5:$G$104,MATCH($A27,'C Kits'!$C$5:$C$104,0))))</f>
        <v/>
      </c>
      <c r="C27" s="10" t="str">
        <f aca="false">IF($D27="","",INDEX('C Kits'!$D$5:$D$104,MATCH($A27,'C Kits'!$C$5:$C$104,0)))</f>
        <v/>
      </c>
      <c r="D27" s="5" t="str">
        <f aca="false">IF($A27="","",IFERROR(INDEX('C Kits'!$A$5:$A$104,MATCH($A27,'C Kits'!$C$5:$C$104,0)),""))</f>
        <v/>
      </c>
      <c r="E27" s="5" t="str">
        <f aca="false">IF($D27="","",INDEX('C Kits'!$B$5:$B$104,MATCH($A27,'C Kits'!$C$5:$C$104,0)))</f>
        <v/>
      </c>
      <c r="F27" s="5" t="str">
        <f aca="false">IF($A27="","",IF($D27="","No kit for this SKU",IF(INDEX('C Kits'!$I$5:$I$104,MATCH($A27,'C Kits'!$C$5:$C$104,0))&lt;&gt;"","Matched — shares parts","Matched")))</f>
        <v/>
      </c>
    </row>
    <row r="28" customFormat="false" ht="15" hidden="false" customHeight="false" outlineLevel="0" collapsed="false">
      <c r="A28" s="4"/>
      <c r="B28" s="5" t="str">
        <f aca="false">IF($D28="","",IF($B$3="Can pack now",INDEX('C Kits'!$F$5:$F$104,MATCH($A28,'C Kits'!$C$5:$C$104,0)),INDEX('C Kits'!$G$5:$G$104,MATCH($A28,'C Kits'!$C$5:$C$104,0))))</f>
        <v/>
      </c>
      <c r="C28" s="10" t="str">
        <f aca="false">IF($D28="","",INDEX('C Kits'!$D$5:$D$104,MATCH($A28,'C Kits'!$C$5:$C$104,0)))</f>
        <v/>
      </c>
      <c r="D28" s="5" t="str">
        <f aca="false">IF($A28="","",IFERROR(INDEX('C Kits'!$A$5:$A$104,MATCH($A28,'C Kits'!$C$5:$C$104,0)),""))</f>
        <v/>
      </c>
      <c r="E28" s="5" t="str">
        <f aca="false">IF($D28="","",INDEX('C Kits'!$B$5:$B$104,MATCH($A28,'C Kits'!$C$5:$C$104,0)))</f>
        <v/>
      </c>
      <c r="F28" s="5" t="str">
        <f aca="false">IF($A28="","",IF($D28="","No kit for this SKU",IF(INDEX('C Kits'!$I$5:$I$104,MATCH($A28,'C Kits'!$C$5:$C$104,0))&lt;&gt;"","Matched — shares parts","Matched")))</f>
        <v/>
      </c>
    </row>
    <row r="29" customFormat="false" ht="15" hidden="false" customHeight="false" outlineLevel="0" collapsed="false">
      <c r="A29" s="4"/>
      <c r="B29" s="5" t="str">
        <f aca="false">IF($D29="","",IF($B$3="Can pack now",INDEX('C Kits'!$F$5:$F$104,MATCH($A29,'C Kits'!$C$5:$C$104,0)),INDEX('C Kits'!$G$5:$G$104,MATCH($A29,'C Kits'!$C$5:$C$104,0))))</f>
        <v/>
      </c>
      <c r="C29" s="10" t="str">
        <f aca="false">IF($D29="","",INDEX('C Kits'!$D$5:$D$104,MATCH($A29,'C Kits'!$C$5:$C$104,0)))</f>
        <v/>
      </c>
      <c r="D29" s="5" t="str">
        <f aca="false">IF($A29="","",IFERROR(INDEX('C Kits'!$A$5:$A$104,MATCH($A29,'C Kits'!$C$5:$C$104,0)),""))</f>
        <v/>
      </c>
      <c r="E29" s="5" t="str">
        <f aca="false">IF($D29="","",INDEX('C Kits'!$B$5:$B$104,MATCH($A29,'C Kits'!$C$5:$C$104,0)))</f>
        <v/>
      </c>
      <c r="F29" s="5" t="str">
        <f aca="false">IF($A29="","",IF($D29="","No kit for this SKU",IF(INDEX('C Kits'!$I$5:$I$104,MATCH($A29,'C Kits'!$C$5:$C$104,0))&lt;&gt;"","Matched — shares parts","Matched")))</f>
        <v/>
      </c>
    </row>
    <row r="30" customFormat="false" ht="15" hidden="false" customHeight="false" outlineLevel="0" collapsed="false">
      <c r="A30" s="4"/>
      <c r="B30" s="5" t="str">
        <f aca="false">IF($D30="","",IF($B$3="Can pack now",INDEX('C Kits'!$F$5:$F$104,MATCH($A30,'C Kits'!$C$5:$C$104,0)),INDEX('C Kits'!$G$5:$G$104,MATCH($A30,'C Kits'!$C$5:$C$104,0))))</f>
        <v/>
      </c>
      <c r="C30" s="10" t="str">
        <f aca="false">IF($D30="","",INDEX('C Kits'!$D$5:$D$104,MATCH($A30,'C Kits'!$C$5:$C$104,0)))</f>
        <v/>
      </c>
      <c r="D30" s="5" t="str">
        <f aca="false">IF($A30="","",IFERROR(INDEX('C Kits'!$A$5:$A$104,MATCH($A30,'C Kits'!$C$5:$C$104,0)),""))</f>
        <v/>
      </c>
      <c r="E30" s="5" t="str">
        <f aca="false">IF($D30="","",INDEX('C Kits'!$B$5:$B$104,MATCH($A30,'C Kits'!$C$5:$C$104,0)))</f>
        <v/>
      </c>
      <c r="F30" s="5" t="str">
        <f aca="false">IF($A30="","",IF($D30="","No kit for this SKU",IF(INDEX('C Kits'!$I$5:$I$104,MATCH($A30,'C Kits'!$C$5:$C$104,0))&lt;&gt;"","Matched — shares parts","Matched")))</f>
        <v/>
      </c>
    </row>
    <row r="31" customFormat="false" ht="15" hidden="false" customHeight="false" outlineLevel="0" collapsed="false">
      <c r="A31" s="4"/>
      <c r="B31" s="5" t="str">
        <f aca="false">IF($D31="","",IF($B$3="Can pack now",INDEX('C Kits'!$F$5:$F$104,MATCH($A31,'C Kits'!$C$5:$C$104,0)),INDEX('C Kits'!$G$5:$G$104,MATCH($A31,'C Kits'!$C$5:$C$104,0))))</f>
        <v/>
      </c>
      <c r="C31" s="10" t="str">
        <f aca="false">IF($D31="","",INDEX('C Kits'!$D$5:$D$104,MATCH($A31,'C Kits'!$C$5:$C$104,0)))</f>
        <v/>
      </c>
      <c r="D31" s="5" t="str">
        <f aca="false">IF($A31="","",IFERROR(INDEX('C Kits'!$A$5:$A$104,MATCH($A31,'C Kits'!$C$5:$C$104,0)),""))</f>
        <v/>
      </c>
      <c r="E31" s="5" t="str">
        <f aca="false">IF($D31="","",INDEX('C Kits'!$B$5:$B$104,MATCH($A31,'C Kits'!$C$5:$C$104,0)))</f>
        <v/>
      </c>
      <c r="F31" s="5" t="str">
        <f aca="false">IF($A31="","",IF($D31="","No kit for this SKU",IF(INDEX('C Kits'!$I$5:$I$104,MATCH($A31,'C Kits'!$C$5:$C$104,0))&lt;&gt;"","Matched — shares parts","Matched")))</f>
        <v/>
      </c>
    </row>
    <row r="32" customFormat="false" ht="15" hidden="false" customHeight="false" outlineLevel="0" collapsed="false">
      <c r="A32" s="4"/>
      <c r="B32" s="5" t="str">
        <f aca="false">IF($D32="","",IF($B$3="Can pack now",INDEX('C Kits'!$F$5:$F$104,MATCH($A32,'C Kits'!$C$5:$C$104,0)),INDEX('C Kits'!$G$5:$G$104,MATCH($A32,'C Kits'!$C$5:$C$104,0))))</f>
        <v/>
      </c>
      <c r="C32" s="10" t="str">
        <f aca="false">IF($D32="","",INDEX('C Kits'!$D$5:$D$104,MATCH($A32,'C Kits'!$C$5:$C$104,0)))</f>
        <v/>
      </c>
      <c r="D32" s="5" t="str">
        <f aca="false">IF($A32="","",IFERROR(INDEX('C Kits'!$A$5:$A$104,MATCH($A32,'C Kits'!$C$5:$C$104,0)),""))</f>
        <v/>
      </c>
      <c r="E32" s="5" t="str">
        <f aca="false">IF($D32="","",INDEX('C Kits'!$B$5:$B$104,MATCH($A32,'C Kits'!$C$5:$C$104,0)))</f>
        <v/>
      </c>
      <c r="F32" s="5" t="str">
        <f aca="false">IF($A32="","",IF($D32="","No kit for this SKU",IF(INDEX('C Kits'!$I$5:$I$104,MATCH($A32,'C Kits'!$C$5:$C$104,0))&lt;&gt;"","Matched — shares parts","Matched")))</f>
        <v/>
      </c>
    </row>
    <row r="33" customFormat="false" ht="15" hidden="false" customHeight="false" outlineLevel="0" collapsed="false">
      <c r="A33" s="4"/>
      <c r="B33" s="5" t="str">
        <f aca="false">IF($D33="","",IF($B$3="Can pack now",INDEX('C Kits'!$F$5:$F$104,MATCH($A33,'C Kits'!$C$5:$C$104,0)),INDEX('C Kits'!$G$5:$G$104,MATCH($A33,'C Kits'!$C$5:$C$104,0))))</f>
        <v/>
      </c>
      <c r="C33" s="10" t="str">
        <f aca="false">IF($D33="","",INDEX('C Kits'!$D$5:$D$104,MATCH($A33,'C Kits'!$C$5:$C$104,0)))</f>
        <v/>
      </c>
      <c r="D33" s="5" t="str">
        <f aca="false">IF($A33="","",IFERROR(INDEX('C Kits'!$A$5:$A$104,MATCH($A33,'C Kits'!$C$5:$C$104,0)),""))</f>
        <v/>
      </c>
      <c r="E33" s="5" t="str">
        <f aca="false">IF($D33="","",INDEX('C Kits'!$B$5:$B$104,MATCH($A33,'C Kits'!$C$5:$C$104,0)))</f>
        <v/>
      </c>
      <c r="F33" s="5" t="str">
        <f aca="false">IF($A33="","",IF($D33="","No kit for this SKU",IF(INDEX('C Kits'!$I$5:$I$104,MATCH($A33,'C Kits'!$C$5:$C$104,0))&lt;&gt;"","Matched — shares parts","Matched")))</f>
        <v/>
      </c>
    </row>
    <row r="34" customFormat="false" ht="15" hidden="false" customHeight="false" outlineLevel="0" collapsed="false">
      <c r="A34" s="4"/>
      <c r="B34" s="5" t="str">
        <f aca="false">IF($D34="","",IF($B$3="Can pack now",INDEX('C Kits'!$F$5:$F$104,MATCH($A34,'C Kits'!$C$5:$C$104,0)),INDEX('C Kits'!$G$5:$G$104,MATCH($A34,'C Kits'!$C$5:$C$104,0))))</f>
        <v/>
      </c>
      <c r="C34" s="10" t="str">
        <f aca="false">IF($D34="","",INDEX('C Kits'!$D$5:$D$104,MATCH($A34,'C Kits'!$C$5:$C$104,0)))</f>
        <v/>
      </c>
      <c r="D34" s="5" t="str">
        <f aca="false">IF($A34="","",IFERROR(INDEX('C Kits'!$A$5:$A$104,MATCH($A34,'C Kits'!$C$5:$C$104,0)),""))</f>
        <v/>
      </c>
      <c r="E34" s="5" t="str">
        <f aca="false">IF($D34="","",INDEX('C Kits'!$B$5:$B$104,MATCH($A34,'C Kits'!$C$5:$C$104,0)))</f>
        <v/>
      </c>
      <c r="F34" s="5" t="str">
        <f aca="false">IF($A34="","",IF($D34="","No kit for this SKU",IF(INDEX('C Kits'!$I$5:$I$104,MATCH($A34,'C Kits'!$C$5:$C$104,0))&lt;&gt;"","Matched — shares parts","Matched")))</f>
        <v/>
      </c>
    </row>
    <row r="35" customFormat="false" ht="15" hidden="false" customHeight="false" outlineLevel="0" collapsed="false">
      <c r="A35" s="4"/>
      <c r="B35" s="5" t="str">
        <f aca="false">IF($D35="","",IF($B$3="Can pack now",INDEX('C Kits'!$F$5:$F$104,MATCH($A35,'C Kits'!$C$5:$C$104,0)),INDEX('C Kits'!$G$5:$G$104,MATCH($A35,'C Kits'!$C$5:$C$104,0))))</f>
        <v/>
      </c>
      <c r="C35" s="10" t="str">
        <f aca="false">IF($D35="","",INDEX('C Kits'!$D$5:$D$104,MATCH($A35,'C Kits'!$C$5:$C$104,0)))</f>
        <v/>
      </c>
      <c r="D35" s="5" t="str">
        <f aca="false">IF($A35="","",IFERROR(INDEX('C Kits'!$A$5:$A$104,MATCH($A35,'C Kits'!$C$5:$C$104,0)),""))</f>
        <v/>
      </c>
      <c r="E35" s="5" t="str">
        <f aca="false">IF($D35="","",INDEX('C Kits'!$B$5:$B$104,MATCH($A35,'C Kits'!$C$5:$C$104,0)))</f>
        <v/>
      </c>
      <c r="F35" s="5" t="str">
        <f aca="false">IF($A35="","",IF($D35="","No kit for this SKU",IF(INDEX('C Kits'!$I$5:$I$104,MATCH($A35,'C Kits'!$C$5:$C$104,0))&lt;&gt;"","Matched — shares parts","Matched")))</f>
        <v/>
      </c>
    </row>
    <row r="36" customFormat="false" ht="15" hidden="false" customHeight="false" outlineLevel="0" collapsed="false">
      <c r="A36" s="4"/>
      <c r="B36" s="5" t="str">
        <f aca="false">IF($D36="","",IF($B$3="Can pack now",INDEX('C Kits'!$F$5:$F$104,MATCH($A36,'C Kits'!$C$5:$C$104,0)),INDEX('C Kits'!$G$5:$G$104,MATCH($A36,'C Kits'!$C$5:$C$104,0))))</f>
        <v/>
      </c>
      <c r="C36" s="10" t="str">
        <f aca="false">IF($D36="","",INDEX('C Kits'!$D$5:$D$104,MATCH($A36,'C Kits'!$C$5:$C$104,0)))</f>
        <v/>
      </c>
      <c r="D36" s="5" t="str">
        <f aca="false">IF($A36="","",IFERROR(INDEX('C Kits'!$A$5:$A$104,MATCH($A36,'C Kits'!$C$5:$C$104,0)),""))</f>
        <v/>
      </c>
      <c r="E36" s="5" t="str">
        <f aca="false">IF($D36="","",INDEX('C Kits'!$B$5:$B$104,MATCH($A36,'C Kits'!$C$5:$C$104,0)))</f>
        <v/>
      </c>
      <c r="F36" s="5" t="str">
        <f aca="false">IF($A36="","",IF($D36="","No kit for this SKU",IF(INDEX('C Kits'!$I$5:$I$104,MATCH($A36,'C Kits'!$C$5:$C$104,0))&lt;&gt;"","Matched — shares parts","Matched")))</f>
        <v/>
      </c>
    </row>
    <row r="37" customFormat="false" ht="15" hidden="false" customHeight="false" outlineLevel="0" collapsed="false">
      <c r="A37" s="4"/>
      <c r="B37" s="5" t="str">
        <f aca="false">IF($D37="","",IF($B$3="Can pack now",INDEX('C Kits'!$F$5:$F$104,MATCH($A37,'C Kits'!$C$5:$C$104,0)),INDEX('C Kits'!$G$5:$G$104,MATCH($A37,'C Kits'!$C$5:$C$104,0))))</f>
        <v/>
      </c>
      <c r="C37" s="10" t="str">
        <f aca="false">IF($D37="","",INDEX('C Kits'!$D$5:$D$104,MATCH($A37,'C Kits'!$C$5:$C$104,0)))</f>
        <v/>
      </c>
      <c r="D37" s="5" t="str">
        <f aca="false">IF($A37="","",IFERROR(INDEX('C Kits'!$A$5:$A$104,MATCH($A37,'C Kits'!$C$5:$C$104,0)),""))</f>
        <v/>
      </c>
      <c r="E37" s="5" t="str">
        <f aca="false">IF($D37="","",INDEX('C Kits'!$B$5:$B$104,MATCH($A37,'C Kits'!$C$5:$C$104,0)))</f>
        <v/>
      </c>
      <c r="F37" s="5" t="str">
        <f aca="false">IF($A37="","",IF($D37="","No kit for this SKU",IF(INDEX('C Kits'!$I$5:$I$104,MATCH($A37,'C Kits'!$C$5:$C$104,0))&lt;&gt;"","Matched — shares parts","Matched")))</f>
        <v/>
      </c>
    </row>
    <row r="38" customFormat="false" ht="15" hidden="false" customHeight="false" outlineLevel="0" collapsed="false">
      <c r="A38" s="4"/>
      <c r="B38" s="5" t="str">
        <f aca="false">IF($D38="","",IF($B$3="Can pack now",INDEX('C Kits'!$F$5:$F$104,MATCH($A38,'C Kits'!$C$5:$C$104,0)),INDEX('C Kits'!$G$5:$G$104,MATCH($A38,'C Kits'!$C$5:$C$104,0))))</f>
        <v/>
      </c>
      <c r="C38" s="10" t="str">
        <f aca="false">IF($D38="","",INDEX('C Kits'!$D$5:$D$104,MATCH($A38,'C Kits'!$C$5:$C$104,0)))</f>
        <v/>
      </c>
      <c r="D38" s="5" t="str">
        <f aca="false">IF($A38="","",IFERROR(INDEX('C Kits'!$A$5:$A$104,MATCH($A38,'C Kits'!$C$5:$C$104,0)),""))</f>
        <v/>
      </c>
      <c r="E38" s="5" t="str">
        <f aca="false">IF($D38="","",INDEX('C Kits'!$B$5:$B$104,MATCH($A38,'C Kits'!$C$5:$C$104,0)))</f>
        <v/>
      </c>
      <c r="F38" s="5" t="str">
        <f aca="false">IF($A38="","",IF($D38="","No kit for this SKU",IF(INDEX('C Kits'!$I$5:$I$104,MATCH($A38,'C Kits'!$C$5:$C$104,0))&lt;&gt;"","Matched — shares parts","Matched")))</f>
        <v/>
      </c>
    </row>
    <row r="39" customFormat="false" ht="15" hidden="false" customHeight="false" outlineLevel="0" collapsed="false">
      <c r="A39" s="4"/>
      <c r="B39" s="5" t="str">
        <f aca="false">IF($D39="","",IF($B$3="Can pack now",INDEX('C Kits'!$F$5:$F$104,MATCH($A39,'C Kits'!$C$5:$C$104,0)),INDEX('C Kits'!$G$5:$G$104,MATCH($A39,'C Kits'!$C$5:$C$104,0))))</f>
        <v/>
      </c>
      <c r="C39" s="10" t="str">
        <f aca="false">IF($D39="","",INDEX('C Kits'!$D$5:$D$104,MATCH($A39,'C Kits'!$C$5:$C$104,0)))</f>
        <v/>
      </c>
      <c r="D39" s="5" t="str">
        <f aca="false">IF($A39="","",IFERROR(INDEX('C Kits'!$A$5:$A$104,MATCH($A39,'C Kits'!$C$5:$C$104,0)),""))</f>
        <v/>
      </c>
      <c r="E39" s="5" t="str">
        <f aca="false">IF($D39="","",INDEX('C Kits'!$B$5:$B$104,MATCH($A39,'C Kits'!$C$5:$C$104,0)))</f>
        <v/>
      </c>
      <c r="F39" s="5" t="str">
        <f aca="false">IF($A39="","",IF($D39="","No kit for this SKU",IF(INDEX('C Kits'!$I$5:$I$104,MATCH($A39,'C Kits'!$C$5:$C$104,0))&lt;&gt;"","Matched — shares parts","Matched")))</f>
        <v/>
      </c>
    </row>
    <row r="40" customFormat="false" ht="15" hidden="false" customHeight="false" outlineLevel="0" collapsed="false">
      <c r="A40" s="4"/>
      <c r="B40" s="5" t="str">
        <f aca="false">IF($D40="","",IF($B$3="Can pack now",INDEX('C Kits'!$F$5:$F$104,MATCH($A40,'C Kits'!$C$5:$C$104,0)),INDEX('C Kits'!$G$5:$G$104,MATCH($A40,'C Kits'!$C$5:$C$104,0))))</f>
        <v/>
      </c>
      <c r="C40" s="10" t="str">
        <f aca="false">IF($D40="","",INDEX('C Kits'!$D$5:$D$104,MATCH($A40,'C Kits'!$C$5:$C$104,0)))</f>
        <v/>
      </c>
      <c r="D40" s="5" t="str">
        <f aca="false">IF($A40="","",IFERROR(INDEX('C Kits'!$A$5:$A$104,MATCH($A40,'C Kits'!$C$5:$C$104,0)),""))</f>
        <v/>
      </c>
      <c r="E40" s="5" t="str">
        <f aca="false">IF($D40="","",INDEX('C Kits'!$B$5:$B$104,MATCH($A40,'C Kits'!$C$5:$C$104,0)))</f>
        <v/>
      </c>
      <c r="F40" s="5" t="str">
        <f aca="false">IF($A40="","",IF($D40="","No kit for this SKU",IF(INDEX('C Kits'!$I$5:$I$104,MATCH($A40,'C Kits'!$C$5:$C$104,0))&lt;&gt;"","Matched — shares parts","Matched")))</f>
        <v/>
      </c>
    </row>
    <row r="41" customFormat="false" ht="15" hidden="false" customHeight="false" outlineLevel="0" collapsed="false">
      <c r="A41" s="4"/>
      <c r="B41" s="5" t="str">
        <f aca="false">IF($D41="","",IF($B$3="Can pack now",INDEX('C Kits'!$F$5:$F$104,MATCH($A41,'C Kits'!$C$5:$C$104,0)),INDEX('C Kits'!$G$5:$G$104,MATCH($A41,'C Kits'!$C$5:$C$104,0))))</f>
        <v/>
      </c>
      <c r="C41" s="10" t="str">
        <f aca="false">IF($D41="","",INDEX('C Kits'!$D$5:$D$104,MATCH($A41,'C Kits'!$C$5:$C$104,0)))</f>
        <v/>
      </c>
      <c r="D41" s="5" t="str">
        <f aca="false">IF($A41="","",IFERROR(INDEX('C Kits'!$A$5:$A$104,MATCH($A41,'C Kits'!$C$5:$C$104,0)),""))</f>
        <v/>
      </c>
      <c r="E41" s="5" t="str">
        <f aca="false">IF($D41="","",INDEX('C Kits'!$B$5:$B$104,MATCH($A41,'C Kits'!$C$5:$C$104,0)))</f>
        <v/>
      </c>
      <c r="F41" s="5" t="str">
        <f aca="false">IF($A41="","",IF($D41="","No kit for this SKU",IF(INDEX('C Kits'!$I$5:$I$104,MATCH($A41,'C Kits'!$C$5:$C$104,0))&lt;&gt;"","Matched — shares parts","Matched")))</f>
        <v/>
      </c>
    </row>
    <row r="42" customFormat="false" ht="15" hidden="false" customHeight="false" outlineLevel="0" collapsed="false">
      <c r="A42" s="4"/>
      <c r="B42" s="5" t="str">
        <f aca="false">IF($D42="","",IF($B$3="Can pack now",INDEX('C Kits'!$F$5:$F$104,MATCH($A42,'C Kits'!$C$5:$C$104,0)),INDEX('C Kits'!$G$5:$G$104,MATCH($A42,'C Kits'!$C$5:$C$104,0))))</f>
        <v/>
      </c>
      <c r="C42" s="10" t="str">
        <f aca="false">IF($D42="","",INDEX('C Kits'!$D$5:$D$104,MATCH($A42,'C Kits'!$C$5:$C$104,0)))</f>
        <v/>
      </c>
      <c r="D42" s="5" t="str">
        <f aca="false">IF($A42="","",IFERROR(INDEX('C Kits'!$A$5:$A$104,MATCH($A42,'C Kits'!$C$5:$C$104,0)),""))</f>
        <v/>
      </c>
      <c r="E42" s="5" t="str">
        <f aca="false">IF($D42="","",INDEX('C Kits'!$B$5:$B$104,MATCH($A42,'C Kits'!$C$5:$C$104,0)))</f>
        <v/>
      </c>
      <c r="F42" s="5" t="str">
        <f aca="false">IF($A42="","",IF($D42="","No kit for this SKU",IF(INDEX('C Kits'!$I$5:$I$104,MATCH($A42,'C Kits'!$C$5:$C$104,0))&lt;&gt;"","Matched — shares parts","Matched")))</f>
        <v/>
      </c>
    </row>
    <row r="43" customFormat="false" ht="15" hidden="false" customHeight="false" outlineLevel="0" collapsed="false">
      <c r="A43" s="4"/>
      <c r="B43" s="5" t="str">
        <f aca="false">IF($D43="","",IF($B$3="Can pack now",INDEX('C Kits'!$F$5:$F$104,MATCH($A43,'C Kits'!$C$5:$C$104,0)),INDEX('C Kits'!$G$5:$G$104,MATCH($A43,'C Kits'!$C$5:$C$104,0))))</f>
        <v/>
      </c>
      <c r="C43" s="10" t="str">
        <f aca="false">IF($D43="","",INDEX('C Kits'!$D$5:$D$104,MATCH($A43,'C Kits'!$C$5:$C$104,0)))</f>
        <v/>
      </c>
      <c r="D43" s="5" t="str">
        <f aca="false">IF($A43="","",IFERROR(INDEX('C Kits'!$A$5:$A$104,MATCH($A43,'C Kits'!$C$5:$C$104,0)),""))</f>
        <v/>
      </c>
      <c r="E43" s="5" t="str">
        <f aca="false">IF($D43="","",INDEX('C Kits'!$B$5:$B$104,MATCH($A43,'C Kits'!$C$5:$C$104,0)))</f>
        <v/>
      </c>
      <c r="F43" s="5" t="str">
        <f aca="false">IF($A43="","",IF($D43="","No kit for this SKU",IF(INDEX('C Kits'!$I$5:$I$104,MATCH($A43,'C Kits'!$C$5:$C$104,0))&lt;&gt;"","Matched — shares parts","Matched")))</f>
        <v/>
      </c>
    </row>
    <row r="44" customFormat="false" ht="15" hidden="false" customHeight="false" outlineLevel="0" collapsed="false">
      <c r="A44" s="4"/>
      <c r="B44" s="5" t="str">
        <f aca="false">IF($D44="","",IF($B$3="Can pack now",INDEX('C Kits'!$F$5:$F$104,MATCH($A44,'C Kits'!$C$5:$C$104,0)),INDEX('C Kits'!$G$5:$G$104,MATCH($A44,'C Kits'!$C$5:$C$104,0))))</f>
        <v/>
      </c>
      <c r="C44" s="10" t="str">
        <f aca="false">IF($D44="","",INDEX('C Kits'!$D$5:$D$104,MATCH($A44,'C Kits'!$C$5:$C$104,0)))</f>
        <v/>
      </c>
      <c r="D44" s="5" t="str">
        <f aca="false">IF($A44="","",IFERROR(INDEX('C Kits'!$A$5:$A$104,MATCH($A44,'C Kits'!$C$5:$C$104,0)),""))</f>
        <v/>
      </c>
      <c r="E44" s="5" t="str">
        <f aca="false">IF($D44="","",INDEX('C Kits'!$B$5:$B$104,MATCH($A44,'C Kits'!$C$5:$C$104,0)))</f>
        <v/>
      </c>
      <c r="F44" s="5" t="str">
        <f aca="false">IF($A44="","",IF($D44="","No kit for this SKU",IF(INDEX('C Kits'!$I$5:$I$104,MATCH($A44,'C Kits'!$C$5:$C$104,0))&lt;&gt;"","Matched — shares parts","Matched")))</f>
        <v/>
      </c>
    </row>
    <row r="45" customFormat="false" ht="15" hidden="false" customHeight="false" outlineLevel="0" collapsed="false">
      <c r="A45" s="4"/>
      <c r="B45" s="5" t="str">
        <f aca="false">IF($D45="","",IF($B$3="Can pack now",INDEX('C Kits'!$F$5:$F$104,MATCH($A45,'C Kits'!$C$5:$C$104,0)),INDEX('C Kits'!$G$5:$G$104,MATCH($A45,'C Kits'!$C$5:$C$104,0))))</f>
        <v/>
      </c>
      <c r="C45" s="10" t="str">
        <f aca="false">IF($D45="","",INDEX('C Kits'!$D$5:$D$104,MATCH($A45,'C Kits'!$C$5:$C$104,0)))</f>
        <v/>
      </c>
      <c r="D45" s="5" t="str">
        <f aca="false">IF($A45="","",IFERROR(INDEX('C Kits'!$A$5:$A$104,MATCH($A45,'C Kits'!$C$5:$C$104,0)),""))</f>
        <v/>
      </c>
      <c r="E45" s="5" t="str">
        <f aca="false">IF($D45="","",INDEX('C Kits'!$B$5:$B$104,MATCH($A45,'C Kits'!$C$5:$C$104,0)))</f>
        <v/>
      </c>
      <c r="F45" s="5" t="str">
        <f aca="false">IF($A45="","",IF($D45="","No kit for this SKU",IF(INDEX('C Kits'!$I$5:$I$104,MATCH($A45,'C Kits'!$C$5:$C$104,0))&lt;&gt;"","Matched — shares parts","Matched")))</f>
        <v/>
      </c>
    </row>
    <row r="46" customFormat="false" ht="15" hidden="false" customHeight="false" outlineLevel="0" collapsed="false">
      <c r="A46" s="4"/>
      <c r="B46" s="5" t="str">
        <f aca="false">IF($D46="","",IF($B$3="Can pack now",INDEX('C Kits'!$F$5:$F$104,MATCH($A46,'C Kits'!$C$5:$C$104,0)),INDEX('C Kits'!$G$5:$G$104,MATCH($A46,'C Kits'!$C$5:$C$104,0))))</f>
        <v/>
      </c>
      <c r="C46" s="10" t="str">
        <f aca="false">IF($D46="","",INDEX('C Kits'!$D$5:$D$104,MATCH($A46,'C Kits'!$C$5:$C$104,0)))</f>
        <v/>
      </c>
      <c r="D46" s="5" t="str">
        <f aca="false">IF($A46="","",IFERROR(INDEX('C Kits'!$A$5:$A$104,MATCH($A46,'C Kits'!$C$5:$C$104,0)),""))</f>
        <v/>
      </c>
      <c r="E46" s="5" t="str">
        <f aca="false">IF($D46="","",INDEX('C Kits'!$B$5:$B$104,MATCH($A46,'C Kits'!$C$5:$C$104,0)))</f>
        <v/>
      </c>
      <c r="F46" s="5" t="str">
        <f aca="false">IF($A46="","",IF($D46="","No kit for this SKU",IF(INDEX('C Kits'!$I$5:$I$104,MATCH($A46,'C Kits'!$C$5:$C$104,0))&lt;&gt;"","Matched — shares parts","Matched")))</f>
        <v/>
      </c>
    </row>
    <row r="47" customFormat="false" ht="15" hidden="false" customHeight="false" outlineLevel="0" collapsed="false">
      <c r="A47" s="4"/>
      <c r="B47" s="5" t="str">
        <f aca="false">IF($D47="","",IF($B$3="Can pack now",INDEX('C Kits'!$F$5:$F$104,MATCH($A47,'C Kits'!$C$5:$C$104,0)),INDEX('C Kits'!$G$5:$G$104,MATCH($A47,'C Kits'!$C$5:$C$104,0))))</f>
        <v/>
      </c>
      <c r="C47" s="10" t="str">
        <f aca="false">IF($D47="","",INDEX('C Kits'!$D$5:$D$104,MATCH($A47,'C Kits'!$C$5:$C$104,0)))</f>
        <v/>
      </c>
      <c r="D47" s="5" t="str">
        <f aca="false">IF($A47="","",IFERROR(INDEX('C Kits'!$A$5:$A$104,MATCH($A47,'C Kits'!$C$5:$C$104,0)),""))</f>
        <v/>
      </c>
      <c r="E47" s="5" t="str">
        <f aca="false">IF($D47="","",INDEX('C Kits'!$B$5:$B$104,MATCH($A47,'C Kits'!$C$5:$C$104,0)))</f>
        <v/>
      </c>
      <c r="F47" s="5" t="str">
        <f aca="false">IF($A47="","",IF($D47="","No kit for this SKU",IF(INDEX('C Kits'!$I$5:$I$104,MATCH($A47,'C Kits'!$C$5:$C$104,0))&lt;&gt;"","Matched — shares parts","Matched")))</f>
        <v/>
      </c>
    </row>
    <row r="48" customFormat="false" ht="15" hidden="false" customHeight="false" outlineLevel="0" collapsed="false">
      <c r="A48" s="4"/>
      <c r="B48" s="5" t="str">
        <f aca="false">IF($D48="","",IF($B$3="Can pack now",INDEX('C Kits'!$F$5:$F$104,MATCH($A48,'C Kits'!$C$5:$C$104,0)),INDEX('C Kits'!$G$5:$G$104,MATCH($A48,'C Kits'!$C$5:$C$104,0))))</f>
        <v/>
      </c>
      <c r="C48" s="10" t="str">
        <f aca="false">IF($D48="","",INDEX('C Kits'!$D$5:$D$104,MATCH($A48,'C Kits'!$C$5:$C$104,0)))</f>
        <v/>
      </c>
      <c r="D48" s="5" t="str">
        <f aca="false">IF($A48="","",IFERROR(INDEX('C Kits'!$A$5:$A$104,MATCH($A48,'C Kits'!$C$5:$C$104,0)),""))</f>
        <v/>
      </c>
      <c r="E48" s="5" t="str">
        <f aca="false">IF($D48="","",INDEX('C Kits'!$B$5:$B$104,MATCH($A48,'C Kits'!$C$5:$C$104,0)))</f>
        <v/>
      </c>
      <c r="F48" s="5" t="str">
        <f aca="false">IF($A48="","",IF($D48="","No kit for this SKU",IF(INDEX('C Kits'!$I$5:$I$104,MATCH($A48,'C Kits'!$C$5:$C$104,0))&lt;&gt;"","Matched — shares parts","Matched")))</f>
        <v/>
      </c>
    </row>
    <row r="49" customFormat="false" ht="15" hidden="false" customHeight="false" outlineLevel="0" collapsed="false">
      <c r="A49" s="4"/>
      <c r="B49" s="5" t="str">
        <f aca="false">IF($D49="","",IF($B$3="Can pack now",INDEX('C Kits'!$F$5:$F$104,MATCH($A49,'C Kits'!$C$5:$C$104,0)),INDEX('C Kits'!$G$5:$G$104,MATCH($A49,'C Kits'!$C$5:$C$104,0))))</f>
        <v/>
      </c>
      <c r="C49" s="10" t="str">
        <f aca="false">IF($D49="","",INDEX('C Kits'!$D$5:$D$104,MATCH($A49,'C Kits'!$C$5:$C$104,0)))</f>
        <v/>
      </c>
      <c r="D49" s="5" t="str">
        <f aca="false">IF($A49="","",IFERROR(INDEX('C Kits'!$A$5:$A$104,MATCH($A49,'C Kits'!$C$5:$C$104,0)),""))</f>
        <v/>
      </c>
      <c r="E49" s="5" t="str">
        <f aca="false">IF($D49="","",INDEX('C Kits'!$B$5:$B$104,MATCH($A49,'C Kits'!$C$5:$C$104,0)))</f>
        <v/>
      </c>
      <c r="F49" s="5" t="str">
        <f aca="false">IF($A49="","",IF($D49="","No kit for this SKU",IF(INDEX('C Kits'!$I$5:$I$104,MATCH($A49,'C Kits'!$C$5:$C$104,0))&lt;&gt;"","Matched — shares parts","Matched")))</f>
        <v/>
      </c>
    </row>
    <row r="50" customFormat="false" ht="15" hidden="false" customHeight="false" outlineLevel="0" collapsed="false">
      <c r="A50" s="4"/>
      <c r="B50" s="5" t="str">
        <f aca="false">IF($D50="","",IF($B$3="Can pack now",INDEX('C Kits'!$F$5:$F$104,MATCH($A50,'C Kits'!$C$5:$C$104,0)),INDEX('C Kits'!$G$5:$G$104,MATCH($A50,'C Kits'!$C$5:$C$104,0))))</f>
        <v/>
      </c>
      <c r="C50" s="10" t="str">
        <f aca="false">IF($D50="","",INDEX('C Kits'!$D$5:$D$104,MATCH($A50,'C Kits'!$C$5:$C$104,0)))</f>
        <v/>
      </c>
      <c r="D50" s="5" t="str">
        <f aca="false">IF($A50="","",IFERROR(INDEX('C Kits'!$A$5:$A$104,MATCH($A50,'C Kits'!$C$5:$C$104,0)),""))</f>
        <v/>
      </c>
      <c r="E50" s="5" t="str">
        <f aca="false">IF($D50="","",INDEX('C Kits'!$B$5:$B$104,MATCH($A50,'C Kits'!$C$5:$C$104,0)))</f>
        <v/>
      </c>
      <c r="F50" s="5" t="str">
        <f aca="false">IF($A50="","",IF($D50="","No kit for this SKU",IF(INDEX('C Kits'!$I$5:$I$104,MATCH($A50,'C Kits'!$C$5:$C$104,0))&lt;&gt;"","Matched — shares parts","Matched")))</f>
        <v/>
      </c>
    </row>
    <row r="51" customFormat="false" ht="15" hidden="false" customHeight="false" outlineLevel="0" collapsed="false">
      <c r="A51" s="4"/>
      <c r="B51" s="5" t="str">
        <f aca="false">IF($D51="","",IF($B$3="Can pack now",INDEX('C Kits'!$F$5:$F$104,MATCH($A51,'C Kits'!$C$5:$C$104,0)),INDEX('C Kits'!$G$5:$G$104,MATCH($A51,'C Kits'!$C$5:$C$104,0))))</f>
        <v/>
      </c>
      <c r="C51" s="10" t="str">
        <f aca="false">IF($D51="","",INDEX('C Kits'!$D$5:$D$104,MATCH($A51,'C Kits'!$C$5:$C$104,0)))</f>
        <v/>
      </c>
      <c r="D51" s="5" t="str">
        <f aca="false">IF($A51="","",IFERROR(INDEX('C Kits'!$A$5:$A$104,MATCH($A51,'C Kits'!$C$5:$C$104,0)),""))</f>
        <v/>
      </c>
      <c r="E51" s="5" t="str">
        <f aca="false">IF($D51="","",INDEX('C Kits'!$B$5:$B$104,MATCH($A51,'C Kits'!$C$5:$C$104,0)))</f>
        <v/>
      </c>
      <c r="F51" s="5" t="str">
        <f aca="false">IF($A51="","",IF($D51="","No kit for this SKU",IF(INDEX('C Kits'!$I$5:$I$104,MATCH($A51,'C Kits'!$C$5:$C$104,0))&lt;&gt;"","Matched — shares parts","Matched")))</f>
        <v/>
      </c>
    </row>
    <row r="52" customFormat="false" ht="15" hidden="false" customHeight="false" outlineLevel="0" collapsed="false">
      <c r="A52" s="4"/>
      <c r="B52" s="5" t="str">
        <f aca="false">IF($D52="","",IF($B$3="Can pack now",INDEX('C Kits'!$F$5:$F$104,MATCH($A52,'C Kits'!$C$5:$C$104,0)),INDEX('C Kits'!$G$5:$G$104,MATCH($A52,'C Kits'!$C$5:$C$104,0))))</f>
        <v/>
      </c>
      <c r="C52" s="10" t="str">
        <f aca="false">IF($D52="","",INDEX('C Kits'!$D$5:$D$104,MATCH($A52,'C Kits'!$C$5:$C$104,0)))</f>
        <v/>
      </c>
      <c r="D52" s="5" t="str">
        <f aca="false">IF($A52="","",IFERROR(INDEX('C Kits'!$A$5:$A$104,MATCH($A52,'C Kits'!$C$5:$C$104,0)),""))</f>
        <v/>
      </c>
      <c r="E52" s="5" t="str">
        <f aca="false">IF($D52="","",INDEX('C Kits'!$B$5:$B$104,MATCH($A52,'C Kits'!$C$5:$C$104,0)))</f>
        <v/>
      </c>
      <c r="F52" s="5" t="str">
        <f aca="false">IF($A52="","",IF($D52="","No kit for this SKU",IF(INDEX('C Kits'!$I$5:$I$104,MATCH($A52,'C Kits'!$C$5:$C$104,0))&lt;&gt;"","Matched — shares parts","Matched")))</f>
        <v/>
      </c>
    </row>
    <row r="53" customFormat="false" ht="15" hidden="false" customHeight="false" outlineLevel="0" collapsed="false">
      <c r="A53" s="4"/>
      <c r="B53" s="5" t="str">
        <f aca="false">IF($D53="","",IF($B$3="Can pack now",INDEX('C Kits'!$F$5:$F$104,MATCH($A53,'C Kits'!$C$5:$C$104,0)),INDEX('C Kits'!$G$5:$G$104,MATCH($A53,'C Kits'!$C$5:$C$104,0))))</f>
        <v/>
      </c>
      <c r="C53" s="10" t="str">
        <f aca="false">IF($D53="","",INDEX('C Kits'!$D$5:$D$104,MATCH($A53,'C Kits'!$C$5:$C$104,0)))</f>
        <v/>
      </c>
      <c r="D53" s="5" t="str">
        <f aca="false">IF($A53="","",IFERROR(INDEX('C Kits'!$A$5:$A$104,MATCH($A53,'C Kits'!$C$5:$C$104,0)),""))</f>
        <v/>
      </c>
      <c r="E53" s="5" t="str">
        <f aca="false">IF($D53="","",INDEX('C Kits'!$B$5:$B$104,MATCH($A53,'C Kits'!$C$5:$C$104,0)))</f>
        <v/>
      </c>
      <c r="F53" s="5" t="str">
        <f aca="false">IF($A53="","",IF($D53="","No kit for this SKU",IF(INDEX('C Kits'!$I$5:$I$104,MATCH($A53,'C Kits'!$C$5:$C$104,0))&lt;&gt;"","Matched — shares parts","Matched")))</f>
        <v/>
      </c>
    </row>
    <row r="54" customFormat="false" ht="15" hidden="false" customHeight="false" outlineLevel="0" collapsed="false">
      <c r="A54" s="4"/>
      <c r="B54" s="5" t="str">
        <f aca="false">IF($D54="","",IF($B$3="Can pack now",INDEX('C Kits'!$F$5:$F$104,MATCH($A54,'C Kits'!$C$5:$C$104,0)),INDEX('C Kits'!$G$5:$G$104,MATCH($A54,'C Kits'!$C$5:$C$104,0))))</f>
        <v/>
      </c>
      <c r="C54" s="10" t="str">
        <f aca="false">IF($D54="","",INDEX('C Kits'!$D$5:$D$104,MATCH($A54,'C Kits'!$C$5:$C$104,0)))</f>
        <v/>
      </c>
      <c r="D54" s="5" t="str">
        <f aca="false">IF($A54="","",IFERROR(INDEX('C Kits'!$A$5:$A$104,MATCH($A54,'C Kits'!$C$5:$C$104,0)),""))</f>
        <v/>
      </c>
      <c r="E54" s="5" t="str">
        <f aca="false">IF($D54="","",INDEX('C Kits'!$B$5:$B$104,MATCH($A54,'C Kits'!$C$5:$C$104,0)))</f>
        <v/>
      </c>
      <c r="F54" s="5" t="str">
        <f aca="false">IF($A54="","",IF($D54="","No kit for this SKU",IF(INDEX('C Kits'!$I$5:$I$104,MATCH($A54,'C Kits'!$C$5:$C$104,0))&lt;&gt;"","Matched — shares parts","Matched")))</f>
        <v/>
      </c>
    </row>
    <row r="55" customFormat="false" ht="15" hidden="false" customHeight="false" outlineLevel="0" collapsed="false">
      <c r="A55" s="4"/>
      <c r="B55" s="5" t="str">
        <f aca="false">IF($D55="","",IF($B$3="Can pack now",INDEX('C Kits'!$F$5:$F$104,MATCH($A55,'C Kits'!$C$5:$C$104,0)),INDEX('C Kits'!$G$5:$G$104,MATCH($A55,'C Kits'!$C$5:$C$104,0))))</f>
        <v/>
      </c>
      <c r="C55" s="10" t="str">
        <f aca="false">IF($D55="","",INDEX('C Kits'!$D$5:$D$104,MATCH($A55,'C Kits'!$C$5:$C$104,0)))</f>
        <v/>
      </c>
      <c r="D55" s="5" t="str">
        <f aca="false">IF($A55="","",IFERROR(INDEX('C Kits'!$A$5:$A$104,MATCH($A55,'C Kits'!$C$5:$C$104,0)),""))</f>
        <v/>
      </c>
      <c r="E55" s="5" t="str">
        <f aca="false">IF($D55="","",INDEX('C Kits'!$B$5:$B$104,MATCH($A55,'C Kits'!$C$5:$C$104,0)))</f>
        <v/>
      </c>
      <c r="F55" s="5" t="str">
        <f aca="false">IF($A55="","",IF($D55="","No kit for this SKU",IF(INDEX('C Kits'!$I$5:$I$104,MATCH($A55,'C Kits'!$C$5:$C$104,0))&lt;&gt;"","Matched — shares parts","Matched")))</f>
        <v/>
      </c>
    </row>
    <row r="56" customFormat="false" ht="15" hidden="false" customHeight="false" outlineLevel="0" collapsed="false">
      <c r="A56" s="4"/>
      <c r="B56" s="5" t="str">
        <f aca="false">IF($D56="","",IF($B$3="Can pack now",INDEX('C Kits'!$F$5:$F$104,MATCH($A56,'C Kits'!$C$5:$C$104,0)),INDEX('C Kits'!$G$5:$G$104,MATCH($A56,'C Kits'!$C$5:$C$104,0))))</f>
        <v/>
      </c>
      <c r="C56" s="10" t="str">
        <f aca="false">IF($D56="","",INDEX('C Kits'!$D$5:$D$104,MATCH($A56,'C Kits'!$C$5:$C$104,0)))</f>
        <v/>
      </c>
      <c r="D56" s="5" t="str">
        <f aca="false">IF($A56="","",IFERROR(INDEX('C Kits'!$A$5:$A$104,MATCH($A56,'C Kits'!$C$5:$C$104,0)),""))</f>
        <v/>
      </c>
      <c r="E56" s="5" t="str">
        <f aca="false">IF($D56="","",INDEX('C Kits'!$B$5:$B$104,MATCH($A56,'C Kits'!$C$5:$C$104,0)))</f>
        <v/>
      </c>
      <c r="F56" s="5" t="str">
        <f aca="false">IF($A56="","",IF($D56="","No kit for this SKU",IF(INDEX('C Kits'!$I$5:$I$104,MATCH($A56,'C Kits'!$C$5:$C$104,0))&lt;&gt;"","Matched — shares parts","Matched")))</f>
        <v/>
      </c>
    </row>
    <row r="57" customFormat="false" ht="15" hidden="false" customHeight="false" outlineLevel="0" collapsed="false">
      <c r="A57" s="4"/>
      <c r="B57" s="5" t="str">
        <f aca="false">IF($D57="","",IF($B$3="Can pack now",INDEX('C Kits'!$F$5:$F$104,MATCH($A57,'C Kits'!$C$5:$C$104,0)),INDEX('C Kits'!$G$5:$G$104,MATCH($A57,'C Kits'!$C$5:$C$104,0))))</f>
        <v/>
      </c>
      <c r="C57" s="10" t="str">
        <f aca="false">IF($D57="","",INDEX('C Kits'!$D$5:$D$104,MATCH($A57,'C Kits'!$C$5:$C$104,0)))</f>
        <v/>
      </c>
      <c r="D57" s="5" t="str">
        <f aca="false">IF($A57="","",IFERROR(INDEX('C Kits'!$A$5:$A$104,MATCH($A57,'C Kits'!$C$5:$C$104,0)),""))</f>
        <v/>
      </c>
      <c r="E57" s="5" t="str">
        <f aca="false">IF($D57="","",INDEX('C Kits'!$B$5:$B$104,MATCH($A57,'C Kits'!$C$5:$C$104,0)))</f>
        <v/>
      </c>
      <c r="F57" s="5" t="str">
        <f aca="false">IF($A57="","",IF($D57="","No kit for this SKU",IF(INDEX('C Kits'!$I$5:$I$104,MATCH($A57,'C Kits'!$C$5:$C$104,0))&lt;&gt;"","Matched — shares parts","Matched")))</f>
        <v/>
      </c>
    </row>
    <row r="58" customFormat="false" ht="15" hidden="false" customHeight="false" outlineLevel="0" collapsed="false">
      <c r="A58" s="4"/>
      <c r="B58" s="5" t="str">
        <f aca="false">IF($D58="","",IF($B$3="Can pack now",INDEX('C Kits'!$F$5:$F$104,MATCH($A58,'C Kits'!$C$5:$C$104,0)),INDEX('C Kits'!$G$5:$G$104,MATCH($A58,'C Kits'!$C$5:$C$104,0))))</f>
        <v/>
      </c>
      <c r="C58" s="10" t="str">
        <f aca="false">IF($D58="","",INDEX('C Kits'!$D$5:$D$104,MATCH($A58,'C Kits'!$C$5:$C$104,0)))</f>
        <v/>
      </c>
      <c r="D58" s="5" t="str">
        <f aca="false">IF($A58="","",IFERROR(INDEX('C Kits'!$A$5:$A$104,MATCH($A58,'C Kits'!$C$5:$C$104,0)),""))</f>
        <v/>
      </c>
      <c r="E58" s="5" t="str">
        <f aca="false">IF($D58="","",INDEX('C Kits'!$B$5:$B$104,MATCH($A58,'C Kits'!$C$5:$C$104,0)))</f>
        <v/>
      </c>
      <c r="F58" s="5" t="str">
        <f aca="false">IF($A58="","",IF($D58="","No kit for this SKU",IF(INDEX('C Kits'!$I$5:$I$104,MATCH($A58,'C Kits'!$C$5:$C$104,0))&lt;&gt;"","Matched — shares parts","Matched")))</f>
        <v/>
      </c>
    </row>
    <row r="59" customFormat="false" ht="15" hidden="false" customHeight="false" outlineLevel="0" collapsed="false">
      <c r="A59" s="4"/>
      <c r="B59" s="5" t="str">
        <f aca="false">IF($D59="","",IF($B$3="Can pack now",INDEX('C Kits'!$F$5:$F$104,MATCH($A59,'C Kits'!$C$5:$C$104,0)),INDEX('C Kits'!$G$5:$G$104,MATCH($A59,'C Kits'!$C$5:$C$104,0))))</f>
        <v/>
      </c>
      <c r="C59" s="10" t="str">
        <f aca="false">IF($D59="","",INDEX('C Kits'!$D$5:$D$104,MATCH($A59,'C Kits'!$C$5:$C$104,0)))</f>
        <v/>
      </c>
      <c r="D59" s="5" t="str">
        <f aca="false">IF($A59="","",IFERROR(INDEX('C Kits'!$A$5:$A$104,MATCH($A59,'C Kits'!$C$5:$C$104,0)),""))</f>
        <v/>
      </c>
      <c r="E59" s="5" t="str">
        <f aca="false">IF($D59="","",INDEX('C Kits'!$B$5:$B$104,MATCH($A59,'C Kits'!$C$5:$C$104,0)))</f>
        <v/>
      </c>
      <c r="F59" s="5" t="str">
        <f aca="false">IF($A59="","",IF($D59="","No kit for this SKU",IF(INDEX('C Kits'!$I$5:$I$104,MATCH($A59,'C Kits'!$C$5:$C$104,0))&lt;&gt;"","Matched — shares parts","Matched")))</f>
        <v/>
      </c>
    </row>
    <row r="60" customFormat="false" ht="15" hidden="false" customHeight="false" outlineLevel="0" collapsed="false">
      <c r="A60" s="4"/>
      <c r="B60" s="5" t="str">
        <f aca="false">IF($D60="","",IF($B$3="Can pack now",INDEX('C Kits'!$F$5:$F$104,MATCH($A60,'C Kits'!$C$5:$C$104,0)),INDEX('C Kits'!$G$5:$G$104,MATCH($A60,'C Kits'!$C$5:$C$104,0))))</f>
        <v/>
      </c>
      <c r="C60" s="10" t="str">
        <f aca="false">IF($D60="","",INDEX('C Kits'!$D$5:$D$104,MATCH($A60,'C Kits'!$C$5:$C$104,0)))</f>
        <v/>
      </c>
      <c r="D60" s="5" t="str">
        <f aca="false">IF($A60="","",IFERROR(INDEX('C Kits'!$A$5:$A$104,MATCH($A60,'C Kits'!$C$5:$C$104,0)),""))</f>
        <v/>
      </c>
      <c r="E60" s="5" t="str">
        <f aca="false">IF($D60="","",INDEX('C Kits'!$B$5:$B$104,MATCH($A60,'C Kits'!$C$5:$C$104,0)))</f>
        <v/>
      </c>
      <c r="F60" s="5" t="str">
        <f aca="false">IF($A60="","",IF($D60="","No kit for this SKU",IF(INDEX('C Kits'!$I$5:$I$104,MATCH($A60,'C Kits'!$C$5:$C$104,0))&lt;&gt;"","Matched — shares parts","Matched")))</f>
        <v/>
      </c>
    </row>
    <row r="61" customFormat="false" ht="15" hidden="false" customHeight="false" outlineLevel="0" collapsed="false">
      <c r="A61" s="4"/>
      <c r="B61" s="5" t="str">
        <f aca="false">IF($D61="","",IF($B$3="Can pack now",INDEX('C Kits'!$F$5:$F$104,MATCH($A61,'C Kits'!$C$5:$C$104,0)),INDEX('C Kits'!$G$5:$G$104,MATCH($A61,'C Kits'!$C$5:$C$104,0))))</f>
        <v/>
      </c>
      <c r="C61" s="10" t="str">
        <f aca="false">IF($D61="","",INDEX('C Kits'!$D$5:$D$104,MATCH($A61,'C Kits'!$C$5:$C$104,0)))</f>
        <v/>
      </c>
      <c r="D61" s="5" t="str">
        <f aca="false">IF($A61="","",IFERROR(INDEX('C Kits'!$A$5:$A$104,MATCH($A61,'C Kits'!$C$5:$C$104,0)),""))</f>
        <v/>
      </c>
      <c r="E61" s="5" t="str">
        <f aca="false">IF($D61="","",INDEX('C Kits'!$B$5:$B$104,MATCH($A61,'C Kits'!$C$5:$C$104,0)))</f>
        <v/>
      </c>
      <c r="F61" s="5" t="str">
        <f aca="false">IF($A61="","",IF($D61="","No kit for this SKU",IF(INDEX('C Kits'!$I$5:$I$104,MATCH($A61,'C Kits'!$C$5:$C$104,0))&lt;&gt;"","Matched — shares parts","Matched")))</f>
        <v/>
      </c>
    </row>
    <row r="62" customFormat="false" ht="15" hidden="false" customHeight="false" outlineLevel="0" collapsed="false">
      <c r="A62" s="4"/>
      <c r="B62" s="5" t="str">
        <f aca="false">IF($D62="","",IF($B$3="Can pack now",INDEX('C Kits'!$F$5:$F$104,MATCH($A62,'C Kits'!$C$5:$C$104,0)),INDEX('C Kits'!$G$5:$G$104,MATCH($A62,'C Kits'!$C$5:$C$104,0))))</f>
        <v/>
      </c>
      <c r="C62" s="10" t="str">
        <f aca="false">IF($D62="","",INDEX('C Kits'!$D$5:$D$104,MATCH($A62,'C Kits'!$C$5:$C$104,0)))</f>
        <v/>
      </c>
      <c r="D62" s="5" t="str">
        <f aca="false">IF($A62="","",IFERROR(INDEX('C Kits'!$A$5:$A$104,MATCH($A62,'C Kits'!$C$5:$C$104,0)),""))</f>
        <v/>
      </c>
      <c r="E62" s="5" t="str">
        <f aca="false">IF($D62="","",INDEX('C Kits'!$B$5:$B$104,MATCH($A62,'C Kits'!$C$5:$C$104,0)))</f>
        <v/>
      </c>
      <c r="F62" s="5" t="str">
        <f aca="false">IF($A62="","",IF($D62="","No kit for this SKU",IF(INDEX('C Kits'!$I$5:$I$104,MATCH($A62,'C Kits'!$C$5:$C$104,0))&lt;&gt;"","Matched — shares parts","Matched")))</f>
        <v/>
      </c>
    </row>
    <row r="63" customFormat="false" ht="15" hidden="false" customHeight="false" outlineLevel="0" collapsed="false">
      <c r="A63" s="4"/>
      <c r="B63" s="5" t="str">
        <f aca="false">IF($D63="","",IF($B$3="Can pack now",INDEX('C Kits'!$F$5:$F$104,MATCH($A63,'C Kits'!$C$5:$C$104,0)),INDEX('C Kits'!$G$5:$G$104,MATCH($A63,'C Kits'!$C$5:$C$104,0))))</f>
        <v/>
      </c>
      <c r="C63" s="10" t="str">
        <f aca="false">IF($D63="","",INDEX('C Kits'!$D$5:$D$104,MATCH($A63,'C Kits'!$C$5:$C$104,0)))</f>
        <v/>
      </c>
      <c r="D63" s="5" t="str">
        <f aca="false">IF($A63="","",IFERROR(INDEX('C Kits'!$A$5:$A$104,MATCH($A63,'C Kits'!$C$5:$C$104,0)),""))</f>
        <v/>
      </c>
      <c r="E63" s="5" t="str">
        <f aca="false">IF($D63="","",INDEX('C Kits'!$B$5:$B$104,MATCH($A63,'C Kits'!$C$5:$C$104,0)))</f>
        <v/>
      </c>
      <c r="F63" s="5" t="str">
        <f aca="false">IF($A63="","",IF($D63="","No kit for this SKU",IF(INDEX('C Kits'!$I$5:$I$104,MATCH($A63,'C Kits'!$C$5:$C$104,0))&lt;&gt;"","Matched — shares parts","Matched")))</f>
        <v/>
      </c>
    </row>
    <row r="64" customFormat="false" ht="15" hidden="false" customHeight="false" outlineLevel="0" collapsed="false">
      <c r="A64" s="4"/>
      <c r="B64" s="5" t="str">
        <f aca="false">IF($D64="","",IF($B$3="Can pack now",INDEX('C Kits'!$F$5:$F$104,MATCH($A64,'C Kits'!$C$5:$C$104,0)),INDEX('C Kits'!$G$5:$G$104,MATCH($A64,'C Kits'!$C$5:$C$104,0))))</f>
        <v/>
      </c>
      <c r="C64" s="10" t="str">
        <f aca="false">IF($D64="","",INDEX('C Kits'!$D$5:$D$104,MATCH($A64,'C Kits'!$C$5:$C$104,0)))</f>
        <v/>
      </c>
      <c r="D64" s="5" t="str">
        <f aca="false">IF($A64="","",IFERROR(INDEX('C Kits'!$A$5:$A$104,MATCH($A64,'C Kits'!$C$5:$C$104,0)),""))</f>
        <v/>
      </c>
      <c r="E64" s="5" t="str">
        <f aca="false">IF($D64="","",INDEX('C Kits'!$B$5:$B$104,MATCH($A64,'C Kits'!$C$5:$C$104,0)))</f>
        <v/>
      </c>
      <c r="F64" s="5" t="str">
        <f aca="false">IF($A64="","",IF($D64="","No kit for this SKU",IF(INDEX('C Kits'!$I$5:$I$104,MATCH($A64,'C Kits'!$C$5:$C$104,0))&lt;&gt;"","Matched — shares parts","Matched")))</f>
        <v/>
      </c>
    </row>
    <row r="65" customFormat="false" ht="15" hidden="false" customHeight="false" outlineLevel="0" collapsed="false">
      <c r="A65" s="4"/>
      <c r="B65" s="5" t="str">
        <f aca="false">IF($D65="","",IF($B$3="Can pack now",INDEX('C Kits'!$F$5:$F$104,MATCH($A65,'C Kits'!$C$5:$C$104,0)),INDEX('C Kits'!$G$5:$G$104,MATCH($A65,'C Kits'!$C$5:$C$104,0))))</f>
        <v/>
      </c>
      <c r="C65" s="10" t="str">
        <f aca="false">IF($D65="","",INDEX('C Kits'!$D$5:$D$104,MATCH($A65,'C Kits'!$C$5:$C$104,0)))</f>
        <v/>
      </c>
      <c r="D65" s="5" t="str">
        <f aca="false">IF($A65="","",IFERROR(INDEX('C Kits'!$A$5:$A$104,MATCH($A65,'C Kits'!$C$5:$C$104,0)),""))</f>
        <v/>
      </c>
      <c r="E65" s="5" t="str">
        <f aca="false">IF($D65="","",INDEX('C Kits'!$B$5:$B$104,MATCH($A65,'C Kits'!$C$5:$C$104,0)))</f>
        <v/>
      </c>
      <c r="F65" s="5" t="str">
        <f aca="false">IF($A65="","",IF($D65="","No kit for this SKU",IF(INDEX('C Kits'!$I$5:$I$104,MATCH($A65,'C Kits'!$C$5:$C$104,0))&lt;&gt;"","Matched — shares parts","Matched")))</f>
        <v/>
      </c>
    </row>
    <row r="66" customFormat="false" ht="15" hidden="false" customHeight="false" outlineLevel="0" collapsed="false">
      <c r="A66" s="4"/>
      <c r="B66" s="5" t="str">
        <f aca="false">IF($D66="","",IF($B$3="Can pack now",INDEX('C Kits'!$F$5:$F$104,MATCH($A66,'C Kits'!$C$5:$C$104,0)),INDEX('C Kits'!$G$5:$G$104,MATCH($A66,'C Kits'!$C$5:$C$104,0))))</f>
        <v/>
      </c>
      <c r="C66" s="10" t="str">
        <f aca="false">IF($D66="","",INDEX('C Kits'!$D$5:$D$104,MATCH($A66,'C Kits'!$C$5:$C$104,0)))</f>
        <v/>
      </c>
      <c r="D66" s="5" t="str">
        <f aca="false">IF($A66="","",IFERROR(INDEX('C Kits'!$A$5:$A$104,MATCH($A66,'C Kits'!$C$5:$C$104,0)),""))</f>
        <v/>
      </c>
      <c r="E66" s="5" t="str">
        <f aca="false">IF($D66="","",INDEX('C Kits'!$B$5:$B$104,MATCH($A66,'C Kits'!$C$5:$C$104,0)))</f>
        <v/>
      </c>
      <c r="F66" s="5" t="str">
        <f aca="false">IF($A66="","",IF($D66="","No kit for this SKU",IF(INDEX('C Kits'!$I$5:$I$104,MATCH($A66,'C Kits'!$C$5:$C$104,0))&lt;&gt;"","Matched — shares parts","Matched")))</f>
        <v/>
      </c>
    </row>
    <row r="67" customFormat="false" ht="15" hidden="false" customHeight="false" outlineLevel="0" collapsed="false">
      <c r="A67" s="4"/>
      <c r="B67" s="5" t="str">
        <f aca="false">IF($D67="","",IF($B$3="Can pack now",INDEX('C Kits'!$F$5:$F$104,MATCH($A67,'C Kits'!$C$5:$C$104,0)),INDEX('C Kits'!$G$5:$G$104,MATCH($A67,'C Kits'!$C$5:$C$104,0))))</f>
        <v/>
      </c>
      <c r="C67" s="10" t="str">
        <f aca="false">IF($D67="","",INDEX('C Kits'!$D$5:$D$104,MATCH($A67,'C Kits'!$C$5:$C$104,0)))</f>
        <v/>
      </c>
      <c r="D67" s="5" t="str">
        <f aca="false">IF($A67="","",IFERROR(INDEX('C Kits'!$A$5:$A$104,MATCH($A67,'C Kits'!$C$5:$C$104,0)),""))</f>
        <v/>
      </c>
      <c r="E67" s="5" t="str">
        <f aca="false">IF($D67="","",INDEX('C Kits'!$B$5:$B$104,MATCH($A67,'C Kits'!$C$5:$C$104,0)))</f>
        <v/>
      </c>
      <c r="F67" s="5" t="str">
        <f aca="false">IF($A67="","",IF($D67="","No kit for this SKU",IF(INDEX('C Kits'!$I$5:$I$104,MATCH($A67,'C Kits'!$C$5:$C$104,0))&lt;&gt;"","Matched — shares parts","Matched")))</f>
        <v/>
      </c>
    </row>
    <row r="68" customFormat="false" ht="15" hidden="false" customHeight="false" outlineLevel="0" collapsed="false">
      <c r="A68" s="4"/>
      <c r="B68" s="5" t="str">
        <f aca="false">IF($D68="","",IF($B$3="Can pack now",INDEX('C Kits'!$F$5:$F$104,MATCH($A68,'C Kits'!$C$5:$C$104,0)),INDEX('C Kits'!$G$5:$G$104,MATCH($A68,'C Kits'!$C$5:$C$104,0))))</f>
        <v/>
      </c>
      <c r="C68" s="10" t="str">
        <f aca="false">IF($D68="","",INDEX('C Kits'!$D$5:$D$104,MATCH($A68,'C Kits'!$C$5:$C$104,0)))</f>
        <v/>
      </c>
      <c r="D68" s="5" t="str">
        <f aca="false">IF($A68="","",IFERROR(INDEX('C Kits'!$A$5:$A$104,MATCH($A68,'C Kits'!$C$5:$C$104,0)),""))</f>
        <v/>
      </c>
      <c r="E68" s="5" t="str">
        <f aca="false">IF($D68="","",INDEX('C Kits'!$B$5:$B$104,MATCH($A68,'C Kits'!$C$5:$C$104,0)))</f>
        <v/>
      </c>
      <c r="F68" s="5" t="str">
        <f aca="false">IF($A68="","",IF($D68="","No kit for this SKU",IF(INDEX('C Kits'!$I$5:$I$104,MATCH($A68,'C Kits'!$C$5:$C$104,0))&lt;&gt;"","Matched — shares parts","Matched")))</f>
        <v/>
      </c>
    </row>
    <row r="69" customFormat="false" ht="15" hidden="false" customHeight="false" outlineLevel="0" collapsed="false">
      <c r="A69" s="4"/>
      <c r="B69" s="5" t="str">
        <f aca="false">IF($D69="","",IF($B$3="Can pack now",INDEX('C Kits'!$F$5:$F$104,MATCH($A69,'C Kits'!$C$5:$C$104,0)),INDEX('C Kits'!$G$5:$G$104,MATCH($A69,'C Kits'!$C$5:$C$104,0))))</f>
        <v/>
      </c>
      <c r="C69" s="10" t="str">
        <f aca="false">IF($D69="","",INDEX('C Kits'!$D$5:$D$104,MATCH($A69,'C Kits'!$C$5:$C$104,0)))</f>
        <v/>
      </c>
      <c r="D69" s="5" t="str">
        <f aca="false">IF($A69="","",IFERROR(INDEX('C Kits'!$A$5:$A$104,MATCH($A69,'C Kits'!$C$5:$C$104,0)),""))</f>
        <v/>
      </c>
      <c r="E69" s="5" t="str">
        <f aca="false">IF($D69="","",INDEX('C Kits'!$B$5:$B$104,MATCH($A69,'C Kits'!$C$5:$C$104,0)))</f>
        <v/>
      </c>
      <c r="F69" s="5" t="str">
        <f aca="false">IF($A69="","",IF($D69="","No kit for this SKU",IF(INDEX('C Kits'!$I$5:$I$104,MATCH($A69,'C Kits'!$C$5:$C$104,0))&lt;&gt;"","Matched — shares parts","Matched")))</f>
        <v/>
      </c>
    </row>
    <row r="70" customFormat="false" ht="15" hidden="false" customHeight="false" outlineLevel="0" collapsed="false">
      <c r="A70" s="4"/>
      <c r="B70" s="5" t="str">
        <f aca="false">IF($D70="","",IF($B$3="Can pack now",INDEX('C Kits'!$F$5:$F$104,MATCH($A70,'C Kits'!$C$5:$C$104,0)),INDEX('C Kits'!$G$5:$G$104,MATCH($A70,'C Kits'!$C$5:$C$104,0))))</f>
        <v/>
      </c>
      <c r="C70" s="10" t="str">
        <f aca="false">IF($D70="","",INDEX('C Kits'!$D$5:$D$104,MATCH($A70,'C Kits'!$C$5:$C$104,0)))</f>
        <v/>
      </c>
      <c r="D70" s="5" t="str">
        <f aca="false">IF($A70="","",IFERROR(INDEX('C Kits'!$A$5:$A$104,MATCH($A70,'C Kits'!$C$5:$C$104,0)),""))</f>
        <v/>
      </c>
      <c r="E70" s="5" t="str">
        <f aca="false">IF($D70="","",INDEX('C Kits'!$B$5:$B$104,MATCH($A70,'C Kits'!$C$5:$C$104,0)))</f>
        <v/>
      </c>
      <c r="F70" s="5" t="str">
        <f aca="false">IF($A70="","",IF($D70="","No kit for this SKU",IF(INDEX('C Kits'!$I$5:$I$104,MATCH($A70,'C Kits'!$C$5:$C$104,0))&lt;&gt;"","Matched — shares parts","Matched")))</f>
        <v/>
      </c>
    </row>
    <row r="71" customFormat="false" ht="15" hidden="false" customHeight="false" outlineLevel="0" collapsed="false">
      <c r="A71" s="4"/>
      <c r="B71" s="5" t="str">
        <f aca="false">IF($D71="","",IF($B$3="Can pack now",INDEX('C Kits'!$F$5:$F$104,MATCH($A71,'C Kits'!$C$5:$C$104,0)),INDEX('C Kits'!$G$5:$G$104,MATCH($A71,'C Kits'!$C$5:$C$104,0))))</f>
        <v/>
      </c>
      <c r="C71" s="10" t="str">
        <f aca="false">IF($D71="","",INDEX('C Kits'!$D$5:$D$104,MATCH($A71,'C Kits'!$C$5:$C$104,0)))</f>
        <v/>
      </c>
      <c r="D71" s="5" t="str">
        <f aca="false">IF($A71="","",IFERROR(INDEX('C Kits'!$A$5:$A$104,MATCH($A71,'C Kits'!$C$5:$C$104,0)),""))</f>
        <v/>
      </c>
      <c r="E71" s="5" t="str">
        <f aca="false">IF($D71="","",INDEX('C Kits'!$B$5:$B$104,MATCH($A71,'C Kits'!$C$5:$C$104,0)))</f>
        <v/>
      </c>
      <c r="F71" s="5" t="str">
        <f aca="false">IF($A71="","",IF($D71="","No kit for this SKU",IF(INDEX('C Kits'!$I$5:$I$104,MATCH($A71,'C Kits'!$C$5:$C$104,0))&lt;&gt;"","Matched — shares parts","Matched")))</f>
        <v/>
      </c>
    </row>
    <row r="72" customFormat="false" ht="15" hidden="false" customHeight="false" outlineLevel="0" collapsed="false">
      <c r="A72" s="4"/>
      <c r="B72" s="5" t="str">
        <f aca="false">IF($D72="","",IF($B$3="Can pack now",INDEX('C Kits'!$F$5:$F$104,MATCH($A72,'C Kits'!$C$5:$C$104,0)),INDEX('C Kits'!$G$5:$G$104,MATCH($A72,'C Kits'!$C$5:$C$104,0))))</f>
        <v/>
      </c>
      <c r="C72" s="10" t="str">
        <f aca="false">IF($D72="","",INDEX('C Kits'!$D$5:$D$104,MATCH($A72,'C Kits'!$C$5:$C$104,0)))</f>
        <v/>
      </c>
      <c r="D72" s="5" t="str">
        <f aca="false">IF($A72="","",IFERROR(INDEX('C Kits'!$A$5:$A$104,MATCH($A72,'C Kits'!$C$5:$C$104,0)),""))</f>
        <v/>
      </c>
      <c r="E72" s="5" t="str">
        <f aca="false">IF($D72="","",INDEX('C Kits'!$B$5:$B$104,MATCH($A72,'C Kits'!$C$5:$C$104,0)))</f>
        <v/>
      </c>
      <c r="F72" s="5" t="str">
        <f aca="false">IF($A72="","",IF($D72="","No kit for this SKU",IF(INDEX('C Kits'!$I$5:$I$104,MATCH($A72,'C Kits'!$C$5:$C$104,0))&lt;&gt;"","Matched — shares parts","Matched")))</f>
        <v/>
      </c>
    </row>
    <row r="73" customFormat="false" ht="15" hidden="false" customHeight="false" outlineLevel="0" collapsed="false">
      <c r="A73" s="4"/>
      <c r="B73" s="5" t="str">
        <f aca="false">IF($D73="","",IF($B$3="Can pack now",INDEX('C Kits'!$F$5:$F$104,MATCH($A73,'C Kits'!$C$5:$C$104,0)),INDEX('C Kits'!$G$5:$G$104,MATCH($A73,'C Kits'!$C$5:$C$104,0))))</f>
        <v/>
      </c>
      <c r="C73" s="10" t="str">
        <f aca="false">IF($D73="","",INDEX('C Kits'!$D$5:$D$104,MATCH($A73,'C Kits'!$C$5:$C$104,0)))</f>
        <v/>
      </c>
      <c r="D73" s="5" t="str">
        <f aca="false">IF($A73="","",IFERROR(INDEX('C Kits'!$A$5:$A$104,MATCH($A73,'C Kits'!$C$5:$C$104,0)),""))</f>
        <v/>
      </c>
      <c r="E73" s="5" t="str">
        <f aca="false">IF($D73="","",INDEX('C Kits'!$B$5:$B$104,MATCH($A73,'C Kits'!$C$5:$C$104,0)))</f>
        <v/>
      </c>
      <c r="F73" s="5" t="str">
        <f aca="false">IF($A73="","",IF($D73="","No kit for this SKU",IF(INDEX('C Kits'!$I$5:$I$104,MATCH($A73,'C Kits'!$C$5:$C$104,0))&lt;&gt;"","Matched — shares parts","Matched")))</f>
        <v/>
      </c>
    </row>
    <row r="74" customFormat="false" ht="15" hidden="false" customHeight="false" outlineLevel="0" collapsed="false">
      <c r="A74" s="4"/>
      <c r="B74" s="5" t="str">
        <f aca="false">IF($D74="","",IF($B$3="Can pack now",INDEX('C Kits'!$F$5:$F$104,MATCH($A74,'C Kits'!$C$5:$C$104,0)),INDEX('C Kits'!$G$5:$G$104,MATCH($A74,'C Kits'!$C$5:$C$104,0))))</f>
        <v/>
      </c>
      <c r="C74" s="10" t="str">
        <f aca="false">IF($D74="","",INDEX('C Kits'!$D$5:$D$104,MATCH($A74,'C Kits'!$C$5:$C$104,0)))</f>
        <v/>
      </c>
      <c r="D74" s="5" t="str">
        <f aca="false">IF($A74="","",IFERROR(INDEX('C Kits'!$A$5:$A$104,MATCH($A74,'C Kits'!$C$5:$C$104,0)),""))</f>
        <v/>
      </c>
      <c r="E74" s="5" t="str">
        <f aca="false">IF($D74="","",INDEX('C Kits'!$B$5:$B$104,MATCH($A74,'C Kits'!$C$5:$C$104,0)))</f>
        <v/>
      </c>
      <c r="F74" s="5" t="str">
        <f aca="false">IF($A74="","",IF($D74="","No kit for this SKU",IF(INDEX('C Kits'!$I$5:$I$104,MATCH($A74,'C Kits'!$C$5:$C$104,0))&lt;&gt;"","Matched — shares parts","Matched")))</f>
        <v/>
      </c>
    </row>
    <row r="75" customFormat="false" ht="15" hidden="false" customHeight="false" outlineLevel="0" collapsed="false">
      <c r="A75" s="4"/>
      <c r="B75" s="5" t="str">
        <f aca="false">IF($D75="","",IF($B$3="Can pack now",INDEX('C Kits'!$F$5:$F$104,MATCH($A75,'C Kits'!$C$5:$C$104,0)),INDEX('C Kits'!$G$5:$G$104,MATCH($A75,'C Kits'!$C$5:$C$104,0))))</f>
        <v/>
      </c>
      <c r="C75" s="10" t="str">
        <f aca="false">IF($D75="","",INDEX('C Kits'!$D$5:$D$104,MATCH($A75,'C Kits'!$C$5:$C$104,0)))</f>
        <v/>
      </c>
      <c r="D75" s="5" t="str">
        <f aca="false">IF($A75="","",IFERROR(INDEX('C Kits'!$A$5:$A$104,MATCH($A75,'C Kits'!$C$5:$C$104,0)),""))</f>
        <v/>
      </c>
      <c r="E75" s="5" t="str">
        <f aca="false">IF($D75="","",INDEX('C Kits'!$B$5:$B$104,MATCH($A75,'C Kits'!$C$5:$C$104,0)))</f>
        <v/>
      </c>
      <c r="F75" s="5" t="str">
        <f aca="false">IF($A75="","",IF($D75="","No kit for this SKU",IF(INDEX('C Kits'!$I$5:$I$104,MATCH($A75,'C Kits'!$C$5:$C$104,0))&lt;&gt;"","Matched — shares parts","Matched")))</f>
        <v/>
      </c>
    </row>
    <row r="76" customFormat="false" ht="15" hidden="false" customHeight="false" outlineLevel="0" collapsed="false">
      <c r="A76" s="4"/>
      <c r="B76" s="5" t="str">
        <f aca="false">IF($D76="","",IF($B$3="Can pack now",INDEX('C Kits'!$F$5:$F$104,MATCH($A76,'C Kits'!$C$5:$C$104,0)),INDEX('C Kits'!$G$5:$G$104,MATCH($A76,'C Kits'!$C$5:$C$104,0))))</f>
        <v/>
      </c>
      <c r="C76" s="10" t="str">
        <f aca="false">IF($D76="","",INDEX('C Kits'!$D$5:$D$104,MATCH($A76,'C Kits'!$C$5:$C$104,0)))</f>
        <v/>
      </c>
      <c r="D76" s="5" t="str">
        <f aca="false">IF($A76="","",IFERROR(INDEX('C Kits'!$A$5:$A$104,MATCH($A76,'C Kits'!$C$5:$C$104,0)),""))</f>
        <v/>
      </c>
      <c r="E76" s="5" t="str">
        <f aca="false">IF($D76="","",INDEX('C Kits'!$B$5:$B$104,MATCH($A76,'C Kits'!$C$5:$C$104,0)))</f>
        <v/>
      </c>
      <c r="F76" s="5" t="str">
        <f aca="false">IF($A76="","",IF($D76="","No kit for this SKU",IF(INDEX('C Kits'!$I$5:$I$104,MATCH($A76,'C Kits'!$C$5:$C$104,0))&lt;&gt;"","Matched — shares parts","Matched")))</f>
        <v/>
      </c>
    </row>
    <row r="77" customFormat="false" ht="15" hidden="false" customHeight="false" outlineLevel="0" collapsed="false">
      <c r="A77" s="4"/>
      <c r="B77" s="5" t="str">
        <f aca="false">IF($D77="","",IF($B$3="Can pack now",INDEX('C Kits'!$F$5:$F$104,MATCH($A77,'C Kits'!$C$5:$C$104,0)),INDEX('C Kits'!$G$5:$G$104,MATCH($A77,'C Kits'!$C$5:$C$104,0))))</f>
        <v/>
      </c>
      <c r="C77" s="10" t="str">
        <f aca="false">IF($D77="","",INDEX('C Kits'!$D$5:$D$104,MATCH($A77,'C Kits'!$C$5:$C$104,0)))</f>
        <v/>
      </c>
      <c r="D77" s="5" t="str">
        <f aca="false">IF($A77="","",IFERROR(INDEX('C Kits'!$A$5:$A$104,MATCH($A77,'C Kits'!$C$5:$C$104,0)),""))</f>
        <v/>
      </c>
      <c r="E77" s="5" t="str">
        <f aca="false">IF($D77="","",INDEX('C Kits'!$B$5:$B$104,MATCH($A77,'C Kits'!$C$5:$C$104,0)))</f>
        <v/>
      </c>
      <c r="F77" s="5" t="str">
        <f aca="false">IF($A77="","",IF($D77="","No kit for this SKU",IF(INDEX('C Kits'!$I$5:$I$104,MATCH($A77,'C Kits'!$C$5:$C$104,0))&lt;&gt;"","Matched — shares parts","Matched")))</f>
        <v/>
      </c>
    </row>
    <row r="78" customFormat="false" ht="15" hidden="false" customHeight="false" outlineLevel="0" collapsed="false">
      <c r="A78" s="4"/>
      <c r="B78" s="5" t="str">
        <f aca="false">IF($D78="","",IF($B$3="Can pack now",INDEX('C Kits'!$F$5:$F$104,MATCH($A78,'C Kits'!$C$5:$C$104,0)),INDEX('C Kits'!$G$5:$G$104,MATCH($A78,'C Kits'!$C$5:$C$104,0))))</f>
        <v/>
      </c>
      <c r="C78" s="10" t="str">
        <f aca="false">IF($D78="","",INDEX('C Kits'!$D$5:$D$104,MATCH($A78,'C Kits'!$C$5:$C$104,0)))</f>
        <v/>
      </c>
      <c r="D78" s="5" t="str">
        <f aca="false">IF($A78="","",IFERROR(INDEX('C Kits'!$A$5:$A$104,MATCH($A78,'C Kits'!$C$5:$C$104,0)),""))</f>
        <v/>
      </c>
      <c r="E78" s="5" t="str">
        <f aca="false">IF($D78="","",INDEX('C Kits'!$B$5:$B$104,MATCH($A78,'C Kits'!$C$5:$C$104,0)))</f>
        <v/>
      </c>
      <c r="F78" s="5" t="str">
        <f aca="false">IF($A78="","",IF($D78="","No kit for this SKU",IF(INDEX('C Kits'!$I$5:$I$104,MATCH($A78,'C Kits'!$C$5:$C$104,0))&lt;&gt;"","Matched — shares parts","Matched")))</f>
        <v/>
      </c>
    </row>
    <row r="79" customFormat="false" ht="15" hidden="false" customHeight="false" outlineLevel="0" collapsed="false">
      <c r="A79" s="4"/>
      <c r="B79" s="5" t="str">
        <f aca="false">IF($D79="","",IF($B$3="Can pack now",INDEX('C Kits'!$F$5:$F$104,MATCH($A79,'C Kits'!$C$5:$C$104,0)),INDEX('C Kits'!$G$5:$G$104,MATCH($A79,'C Kits'!$C$5:$C$104,0))))</f>
        <v/>
      </c>
      <c r="C79" s="10" t="str">
        <f aca="false">IF($D79="","",INDEX('C Kits'!$D$5:$D$104,MATCH($A79,'C Kits'!$C$5:$C$104,0)))</f>
        <v/>
      </c>
      <c r="D79" s="5" t="str">
        <f aca="false">IF($A79="","",IFERROR(INDEX('C Kits'!$A$5:$A$104,MATCH($A79,'C Kits'!$C$5:$C$104,0)),""))</f>
        <v/>
      </c>
      <c r="E79" s="5" t="str">
        <f aca="false">IF($D79="","",INDEX('C Kits'!$B$5:$B$104,MATCH($A79,'C Kits'!$C$5:$C$104,0)))</f>
        <v/>
      </c>
      <c r="F79" s="5" t="str">
        <f aca="false">IF($A79="","",IF($D79="","No kit for this SKU",IF(INDEX('C Kits'!$I$5:$I$104,MATCH($A79,'C Kits'!$C$5:$C$104,0))&lt;&gt;"","Matched — shares parts","Matched")))</f>
        <v/>
      </c>
    </row>
    <row r="80" customFormat="false" ht="15" hidden="false" customHeight="false" outlineLevel="0" collapsed="false">
      <c r="A80" s="4"/>
      <c r="B80" s="5" t="str">
        <f aca="false">IF($D80="","",IF($B$3="Can pack now",INDEX('C Kits'!$F$5:$F$104,MATCH($A80,'C Kits'!$C$5:$C$104,0)),INDEX('C Kits'!$G$5:$G$104,MATCH($A80,'C Kits'!$C$5:$C$104,0))))</f>
        <v/>
      </c>
      <c r="C80" s="10" t="str">
        <f aca="false">IF($D80="","",INDEX('C Kits'!$D$5:$D$104,MATCH($A80,'C Kits'!$C$5:$C$104,0)))</f>
        <v/>
      </c>
      <c r="D80" s="5" t="str">
        <f aca="false">IF($A80="","",IFERROR(INDEX('C Kits'!$A$5:$A$104,MATCH($A80,'C Kits'!$C$5:$C$104,0)),""))</f>
        <v/>
      </c>
      <c r="E80" s="5" t="str">
        <f aca="false">IF($D80="","",INDEX('C Kits'!$B$5:$B$104,MATCH($A80,'C Kits'!$C$5:$C$104,0)))</f>
        <v/>
      </c>
      <c r="F80" s="5" t="str">
        <f aca="false">IF($A80="","",IF($D80="","No kit for this SKU",IF(INDEX('C Kits'!$I$5:$I$104,MATCH($A80,'C Kits'!$C$5:$C$104,0))&lt;&gt;"","Matched — shares parts","Matched")))</f>
        <v/>
      </c>
    </row>
    <row r="81" customFormat="false" ht="15" hidden="false" customHeight="false" outlineLevel="0" collapsed="false">
      <c r="A81" s="4"/>
      <c r="B81" s="5" t="str">
        <f aca="false">IF($D81="","",IF($B$3="Can pack now",INDEX('C Kits'!$F$5:$F$104,MATCH($A81,'C Kits'!$C$5:$C$104,0)),INDEX('C Kits'!$G$5:$G$104,MATCH($A81,'C Kits'!$C$5:$C$104,0))))</f>
        <v/>
      </c>
      <c r="C81" s="10" t="str">
        <f aca="false">IF($D81="","",INDEX('C Kits'!$D$5:$D$104,MATCH($A81,'C Kits'!$C$5:$C$104,0)))</f>
        <v/>
      </c>
      <c r="D81" s="5" t="str">
        <f aca="false">IF($A81="","",IFERROR(INDEX('C Kits'!$A$5:$A$104,MATCH($A81,'C Kits'!$C$5:$C$104,0)),""))</f>
        <v/>
      </c>
      <c r="E81" s="5" t="str">
        <f aca="false">IF($D81="","",INDEX('C Kits'!$B$5:$B$104,MATCH($A81,'C Kits'!$C$5:$C$104,0)))</f>
        <v/>
      </c>
      <c r="F81" s="5" t="str">
        <f aca="false">IF($A81="","",IF($D81="","No kit for this SKU",IF(INDEX('C Kits'!$I$5:$I$104,MATCH($A81,'C Kits'!$C$5:$C$104,0))&lt;&gt;"","Matched — shares parts","Matched")))</f>
        <v/>
      </c>
    </row>
    <row r="82" customFormat="false" ht="15" hidden="false" customHeight="false" outlineLevel="0" collapsed="false">
      <c r="A82" s="4"/>
      <c r="B82" s="5" t="str">
        <f aca="false">IF($D82="","",IF($B$3="Can pack now",INDEX('C Kits'!$F$5:$F$104,MATCH($A82,'C Kits'!$C$5:$C$104,0)),INDEX('C Kits'!$G$5:$G$104,MATCH($A82,'C Kits'!$C$5:$C$104,0))))</f>
        <v/>
      </c>
      <c r="C82" s="10" t="str">
        <f aca="false">IF($D82="","",INDEX('C Kits'!$D$5:$D$104,MATCH($A82,'C Kits'!$C$5:$C$104,0)))</f>
        <v/>
      </c>
      <c r="D82" s="5" t="str">
        <f aca="false">IF($A82="","",IFERROR(INDEX('C Kits'!$A$5:$A$104,MATCH($A82,'C Kits'!$C$5:$C$104,0)),""))</f>
        <v/>
      </c>
      <c r="E82" s="5" t="str">
        <f aca="false">IF($D82="","",INDEX('C Kits'!$B$5:$B$104,MATCH($A82,'C Kits'!$C$5:$C$104,0)))</f>
        <v/>
      </c>
      <c r="F82" s="5" t="str">
        <f aca="false">IF($A82="","",IF($D82="","No kit for this SKU",IF(INDEX('C Kits'!$I$5:$I$104,MATCH($A82,'C Kits'!$C$5:$C$104,0))&lt;&gt;"","Matched — shares parts","Matched")))</f>
        <v/>
      </c>
    </row>
    <row r="83" customFormat="false" ht="15" hidden="false" customHeight="false" outlineLevel="0" collapsed="false">
      <c r="A83" s="4"/>
      <c r="B83" s="5" t="str">
        <f aca="false">IF($D83="","",IF($B$3="Can pack now",INDEX('C Kits'!$F$5:$F$104,MATCH($A83,'C Kits'!$C$5:$C$104,0)),INDEX('C Kits'!$G$5:$G$104,MATCH($A83,'C Kits'!$C$5:$C$104,0))))</f>
        <v/>
      </c>
      <c r="C83" s="10" t="str">
        <f aca="false">IF($D83="","",INDEX('C Kits'!$D$5:$D$104,MATCH($A83,'C Kits'!$C$5:$C$104,0)))</f>
        <v/>
      </c>
      <c r="D83" s="5" t="str">
        <f aca="false">IF($A83="","",IFERROR(INDEX('C Kits'!$A$5:$A$104,MATCH($A83,'C Kits'!$C$5:$C$104,0)),""))</f>
        <v/>
      </c>
      <c r="E83" s="5" t="str">
        <f aca="false">IF($D83="","",INDEX('C Kits'!$B$5:$B$104,MATCH($A83,'C Kits'!$C$5:$C$104,0)))</f>
        <v/>
      </c>
      <c r="F83" s="5" t="str">
        <f aca="false">IF($A83="","",IF($D83="","No kit for this SKU",IF(INDEX('C Kits'!$I$5:$I$104,MATCH($A83,'C Kits'!$C$5:$C$104,0))&lt;&gt;"","Matched — shares parts","Matched")))</f>
        <v/>
      </c>
    </row>
    <row r="84" customFormat="false" ht="15" hidden="false" customHeight="false" outlineLevel="0" collapsed="false">
      <c r="A84" s="4"/>
      <c r="B84" s="5" t="str">
        <f aca="false">IF($D84="","",IF($B$3="Can pack now",INDEX('C Kits'!$F$5:$F$104,MATCH($A84,'C Kits'!$C$5:$C$104,0)),INDEX('C Kits'!$G$5:$G$104,MATCH($A84,'C Kits'!$C$5:$C$104,0))))</f>
        <v/>
      </c>
      <c r="C84" s="10" t="str">
        <f aca="false">IF($D84="","",INDEX('C Kits'!$D$5:$D$104,MATCH($A84,'C Kits'!$C$5:$C$104,0)))</f>
        <v/>
      </c>
      <c r="D84" s="5" t="str">
        <f aca="false">IF($A84="","",IFERROR(INDEX('C Kits'!$A$5:$A$104,MATCH($A84,'C Kits'!$C$5:$C$104,0)),""))</f>
        <v/>
      </c>
      <c r="E84" s="5" t="str">
        <f aca="false">IF($D84="","",INDEX('C Kits'!$B$5:$B$104,MATCH($A84,'C Kits'!$C$5:$C$104,0)))</f>
        <v/>
      </c>
      <c r="F84" s="5" t="str">
        <f aca="false">IF($A84="","",IF($D84="","No kit for this SKU",IF(INDEX('C Kits'!$I$5:$I$104,MATCH($A84,'C Kits'!$C$5:$C$104,0))&lt;&gt;"","Matched — shares parts","Matched")))</f>
        <v/>
      </c>
    </row>
    <row r="85" customFormat="false" ht="15" hidden="false" customHeight="false" outlineLevel="0" collapsed="false">
      <c r="A85" s="4"/>
      <c r="B85" s="5" t="str">
        <f aca="false">IF($D85="","",IF($B$3="Can pack now",INDEX('C Kits'!$F$5:$F$104,MATCH($A85,'C Kits'!$C$5:$C$104,0)),INDEX('C Kits'!$G$5:$G$104,MATCH($A85,'C Kits'!$C$5:$C$104,0))))</f>
        <v/>
      </c>
      <c r="C85" s="10" t="str">
        <f aca="false">IF($D85="","",INDEX('C Kits'!$D$5:$D$104,MATCH($A85,'C Kits'!$C$5:$C$104,0)))</f>
        <v/>
      </c>
      <c r="D85" s="5" t="str">
        <f aca="false">IF($A85="","",IFERROR(INDEX('C Kits'!$A$5:$A$104,MATCH($A85,'C Kits'!$C$5:$C$104,0)),""))</f>
        <v/>
      </c>
      <c r="E85" s="5" t="str">
        <f aca="false">IF($D85="","",INDEX('C Kits'!$B$5:$B$104,MATCH($A85,'C Kits'!$C$5:$C$104,0)))</f>
        <v/>
      </c>
      <c r="F85" s="5" t="str">
        <f aca="false">IF($A85="","",IF($D85="","No kit for this SKU",IF(INDEX('C Kits'!$I$5:$I$104,MATCH($A85,'C Kits'!$C$5:$C$104,0))&lt;&gt;"","Matched — shares parts","Matched")))</f>
        <v/>
      </c>
    </row>
    <row r="86" customFormat="false" ht="15" hidden="false" customHeight="false" outlineLevel="0" collapsed="false">
      <c r="A86" s="4"/>
      <c r="B86" s="5" t="str">
        <f aca="false">IF($D86="","",IF($B$3="Can pack now",INDEX('C Kits'!$F$5:$F$104,MATCH($A86,'C Kits'!$C$5:$C$104,0)),INDEX('C Kits'!$G$5:$G$104,MATCH($A86,'C Kits'!$C$5:$C$104,0))))</f>
        <v/>
      </c>
      <c r="C86" s="10" t="str">
        <f aca="false">IF($D86="","",INDEX('C Kits'!$D$5:$D$104,MATCH($A86,'C Kits'!$C$5:$C$104,0)))</f>
        <v/>
      </c>
      <c r="D86" s="5" t="str">
        <f aca="false">IF($A86="","",IFERROR(INDEX('C Kits'!$A$5:$A$104,MATCH($A86,'C Kits'!$C$5:$C$104,0)),""))</f>
        <v/>
      </c>
      <c r="E86" s="5" t="str">
        <f aca="false">IF($D86="","",INDEX('C Kits'!$B$5:$B$104,MATCH($A86,'C Kits'!$C$5:$C$104,0)))</f>
        <v/>
      </c>
      <c r="F86" s="5" t="str">
        <f aca="false">IF($A86="","",IF($D86="","No kit for this SKU",IF(INDEX('C Kits'!$I$5:$I$104,MATCH($A86,'C Kits'!$C$5:$C$104,0))&lt;&gt;"","Matched — shares parts","Matched")))</f>
        <v/>
      </c>
    </row>
    <row r="87" customFormat="false" ht="15" hidden="false" customHeight="false" outlineLevel="0" collapsed="false">
      <c r="A87" s="4"/>
      <c r="B87" s="5" t="str">
        <f aca="false">IF($D87="","",IF($B$3="Can pack now",INDEX('C Kits'!$F$5:$F$104,MATCH($A87,'C Kits'!$C$5:$C$104,0)),INDEX('C Kits'!$G$5:$G$104,MATCH($A87,'C Kits'!$C$5:$C$104,0))))</f>
        <v/>
      </c>
      <c r="C87" s="10" t="str">
        <f aca="false">IF($D87="","",INDEX('C Kits'!$D$5:$D$104,MATCH($A87,'C Kits'!$C$5:$C$104,0)))</f>
        <v/>
      </c>
      <c r="D87" s="5" t="str">
        <f aca="false">IF($A87="","",IFERROR(INDEX('C Kits'!$A$5:$A$104,MATCH($A87,'C Kits'!$C$5:$C$104,0)),""))</f>
        <v/>
      </c>
      <c r="E87" s="5" t="str">
        <f aca="false">IF($D87="","",INDEX('C Kits'!$B$5:$B$104,MATCH($A87,'C Kits'!$C$5:$C$104,0)))</f>
        <v/>
      </c>
      <c r="F87" s="5" t="str">
        <f aca="false">IF($A87="","",IF($D87="","No kit for this SKU",IF(INDEX('C Kits'!$I$5:$I$104,MATCH($A87,'C Kits'!$C$5:$C$104,0))&lt;&gt;"","Matched — shares parts","Matched")))</f>
        <v/>
      </c>
    </row>
    <row r="88" customFormat="false" ht="15" hidden="false" customHeight="false" outlineLevel="0" collapsed="false">
      <c r="A88" s="4"/>
      <c r="B88" s="5" t="str">
        <f aca="false">IF($D88="","",IF($B$3="Can pack now",INDEX('C Kits'!$F$5:$F$104,MATCH($A88,'C Kits'!$C$5:$C$104,0)),INDEX('C Kits'!$G$5:$G$104,MATCH($A88,'C Kits'!$C$5:$C$104,0))))</f>
        <v/>
      </c>
      <c r="C88" s="10" t="str">
        <f aca="false">IF($D88="","",INDEX('C Kits'!$D$5:$D$104,MATCH($A88,'C Kits'!$C$5:$C$104,0)))</f>
        <v/>
      </c>
      <c r="D88" s="5" t="str">
        <f aca="false">IF($A88="","",IFERROR(INDEX('C Kits'!$A$5:$A$104,MATCH($A88,'C Kits'!$C$5:$C$104,0)),""))</f>
        <v/>
      </c>
      <c r="E88" s="5" t="str">
        <f aca="false">IF($D88="","",INDEX('C Kits'!$B$5:$B$104,MATCH($A88,'C Kits'!$C$5:$C$104,0)))</f>
        <v/>
      </c>
      <c r="F88" s="5" t="str">
        <f aca="false">IF($A88="","",IF($D88="","No kit for this SKU",IF(INDEX('C Kits'!$I$5:$I$104,MATCH($A88,'C Kits'!$C$5:$C$104,0))&lt;&gt;"","Matched — shares parts","Matched")))</f>
        <v/>
      </c>
    </row>
    <row r="89" customFormat="false" ht="15" hidden="false" customHeight="false" outlineLevel="0" collapsed="false">
      <c r="A89" s="4"/>
      <c r="B89" s="5" t="str">
        <f aca="false">IF($D89="","",IF($B$3="Can pack now",INDEX('C Kits'!$F$5:$F$104,MATCH($A89,'C Kits'!$C$5:$C$104,0)),INDEX('C Kits'!$G$5:$G$104,MATCH($A89,'C Kits'!$C$5:$C$104,0))))</f>
        <v/>
      </c>
      <c r="C89" s="10" t="str">
        <f aca="false">IF($D89="","",INDEX('C Kits'!$D$5:$D$104,MATCH($A89,'C Kits'!$C$5:$C$104,0)))</f>
        <v/>
      </c>
      <c r="D89" s="5" t="str">
        <f aca="false">IF($A89="","",IFERROR(INDEX('C Kits'!$A$5:$A$104,MATCH($A89,'C Kits'!$C$5:$C$104,0)),""))</f>
        <v/>
      </c>
      <c r="E89" s="5" t="str">
        <f aca="false">IF($D89="","",INDEX('C Kits'!$B$5:$B$104,MATCH($A89,'C Kits'!$C$5:$C$104,0)))</f>
        <v/>
      </c>
      <c r="F89" s="5" t="str">
        <f aca="false">IF($A89="","",IF($D89="","No kit for this SKU",IF(INDEX('C Kits'!$I$5:$I$104,MATCH($A89,'C Kits'!$C$5:$C$104,0))&lt;&gt;"","Matched — shares parts","Matched")))</f>
        <v/>
      </c>
    </row>
    <row r="90" customFormat="false" ht="15" hidden="false" customHeight="false" outlineLevel="0" collapsed="false">
      <c r="A90" s="4"/>
      <c r="B90" s="5" t="str">
        <f aca="false">IF($D90="","",IF($B$3="Can pack now",INDEX('C Kits'!$F$5:$F$104,MATCH($A90,'C Kits'!$C$5:$C$104,0)),INDEX('C Kits'!$G$5:$G$104,MATCH($A90,'C Kits'!$C$5:$C$104,0))))</f>
        <v/>
      </c>
      <c r="C90" s="10" t="str">
        <f aca="false">IF($D90="","",INDEX('C Kits'!$D$5:$D$104,MATCH($A90,'C Kits'!$C$5:$C$104,0)))</f>
        <v/>
      </c>
      <c r="D90" s="5" t="str">
        <f aca="false">IF($A90="","",IFERROR(INDEX('C Kits'!$A$5:$A$104,MATCH($A90,'C Kits'!$C$5:$C$104,0)),""))</f>
        <v/>
      </c>
      <c r="E90" s="5" t="str">
        <f aca="false">IF($D90="","",INDEX('C Kits'!$B$5:$B$104,MATCH($A90,'C Kits'!$C$5:$C$104,0)))</f>
        <v/>
      </c>
      <c r="F90" s="5" t="str">
        <f aca="false">IF($A90="","",IF($D90="","No kit for this SKU",IF(INDEX('C Kits'!$I$5:$I$104,MATCH($A90,'C Kits'!$C$5:$C$104,0))&lt;&gt;"","Matched — shares parts","Matched")))</f>
        <v/>
      </c>
    </row>
    <row r="91" customFormat="false" ht="15" hidden="false" customHeight="false" outlineLevel="0" collapsed="false">
      <c r="A91" s="4"/>
      <c r="B91" s="5" t="str">
        <f aca="false">IF($D91="","",IF($B$3="Can pack now",INDEX('C Kits'!$F$5:$F$104,MATCH($A91,'C Kits'!$C$5:$C$104,0)),INDEX('C Kits'!$G$5:$G$104,MATCH($A91,'C Kits'!$C$5:$C$104,0))))</f>
        <v/>
      </c>
      <c r="C91" s="10" t="str">
        <f aca="false">IF($D91="","",INDEX('C Kits'!$D$5:$D$104,MATCH($A91,'C Kits'!$C$5:$C$104,0)))</f>
        <v/>
      </c>
      <c r="D91" s="5" t="str">
        <f aca="false">IF($A91="","",IFERROR(INDEX('C Kits'!$A$5:$A$104,MATCH($A91,'C Kits'!$C$5:$C$104,0)),""))</f>
        <v/>
      </c>
      <c r="E91" s="5" t="str">
        <f aca="false">IF($D91="","",INDEX('C Kits'!$B$5:$B$104,MATCH($A91,'C Kits'!$C$5:$C$104,0)))</f>
        <v/>
      </c>
      <c r="F91" s="5" t="str">
        <f aca="false">IF($A91="","",IF($D91="","No kit for this SKU",IF(INDEX('C Kits'!$I$5:$I$104,MATCH($A91,'C Kits'!$C$5:$C$104,0))&lt;&gt;"","Matched — shares parts","Matched")))</f>
        <v/>
      </c>
    </row>
    <row r="92" customFormat="false" ht="15" hidden="false" customHeight="false" outlineLevel="0" collapsed="false">
      <c r="A92" s="4"/>
      <c r="B92" s="5" t="str">
        <f aca="false">IF($D92="","",IF($B$3="Can pack now",INDEX('C Kits'!$F$5:$F$104,MATCH($A92,'C Kits'!$C$5:$C$104,0)),INDEX('C Kits'!$G$5:$G$104,MATCH($A92,'C Kits'!$C$5:$C$104,0))))</f>
        <v/>
      </c>
      <c r="C92" s="10" t="str">
        <f aca="false">IF($D92="","",INDEX('C Kits'!$D$5:$D$104,MATCH($A92,'C Kits'!$C$5:$C$104,0)))</f>
        <v/>
      </c>
      <c r="D92" s="5" t="str">
        <f aca="false">IF($A92="","",IFERROR(INDEX('C Kits'!$A$5:$A$104,MATCH($A92,'C Kits'!$C$5:$C$104,0)),""))</f>
        <v/>
      </c>
      <c r="E92" s="5" t="str">
        <f aca="false">IF($D92="","",INDEX('C Kits'!$B$5:$B$104,MATCH($A92,'C Kits'!$C$5:$C$104,0)))</f>
        <v/>
      </c>
      <c r="F92" s="5" t="str">
        <f aca="false">IF($A92="","",IF($D92="","No kit for this SKU",IF(INDEX('C Kits'!$I$5:$I$104,MATCH($A92,'C Kits'!$C$5:$C$104,0))&lt;&gt;"","Matched — shares parts","Matched")))</f>
        <v/>
      </c>
    </row>
    <row r="93" customFormat="false" ht="15" hidden="false" customHeight="false" outlineLevel="0" collapsed="false">
      <c r="A93" s="4"/>
      <c r="B93" s="5" t="str">
        <f aca="false">IF($D93="","",IF($B$3="Can pack now",INDEX('C Kits'!$F$5:$F$104,MATCH($A93,'C Kits'!$C$5:$C$104,0)),INDEX('C Kits'!$G$5:$G$104,MATCH($A93,'C Kits'!$C$5:$C$104,0))))</f>
        <v/>
      </c>
      <c r="C93" s="10" t="str">
        <f aca="false">IF($D93="","",INDEX('C Kits'!$D$5:$D$104,MATCH($A93,'C Kits'!$C$5:$C$104,0)))</f>
        <v/>
      </c>
      <c r="D93" s="5" t="str">
        <f aca="false">IF($A93="","",IFERROR(INDEX('C Kits'!$A$5:$A$104,MATCH($A93,'C Kits'!$C$5:$C$104,0)),""))</f>
        <v/>
      </c>
      <c r="E93" s="5" t="str">
        <f aca="false">IF($D93="","",INDEX('C Kits'!$B$5:$B$104,MATCH($A93,'C Kits'!$C$5:$C$104,0)))</f>
        <v/>
      </c>
      <c r="F93" s="5" t="str">
        <f aca="false">IF($A93="","",IF($D93="","No kit for this SKU",IF(INDEX('C Kits'!$I$5:$I$104,MATCH($A93,'C Kits'!$C$5:$C$104,0))&lt;&gt;"","Matched — shares parts","Matched")))</f>
        <v/>
      </c>
    </row>
    <row r="94" customFormat="false" ht="15" hidden="false" customHeight="false" outlineLevel="0" collapsed="false">
      <c r="A94" s="4"/>
      <c r="B94" s="5" t="str">
        <f aca="false">IF($D94="","",IF($B$3="Can pack now",INDEX('C Kits'!$F$5:$F$104,MATCH($A94,'C Kits'!$C$5:$C$104,0)),INDEX('C Kits'!$G$5:$G$104,MATCH($A94,'C Kits'!$C$5:$C$104,0))))</f>
        <v/>
      </c>
      <c r="C94" s="10" t="str">
        <f aca="false">IF($D94="","",INDEX('C Kits'!$D$5:$D$104,MATCH($A94,'C Kits'!$C$5:$C$104,0)))</f>
        <v/>
      </c>
      <c r="D94" s="5" t="str">
        <f aca="false">IF($A94="","",IFERROR(INDEX('C Kits'!$A$5:$A$104,MATCH($A94,'C Kits'!$C$5:$C$104,0)),""))</f>
        <v/>
      </c>
      <c r="E94" s="5" t="str">
        <f aca="false">IF($D94="","",INDEX('C Kits'!$B$5:$B$104,MATCH($A94,'C Kits'!$C$5:$C$104,0)))</f>
        <v/>
      </c>
      <c r="F94" s="5" t="str">
        <f aca="false">IF($A94="","",IF($D94="","No kit for this SKU",IF(INDEX('C Kits'!$I$5:$I$104,MATCH($A94,'C Kits'!$C$5:$C$104,0))&lt;&gt;"","Matched — shares parts","Matched")))</f>
        <v/>
      </c>
    </row>
    <row r="95" customFormat="false" ht="15" hidden="false" customHeight="false" outlineLevel="0" collapsed="false">
      <c r="A95" s="4"/>
      <c r="B95" s="5" t="str">
        <f aca="false">IF($D95="","",IF($B$3="Can pack now",INDEX('C Kits'!$F$5:$F$104,MATCH($A95,'C Kits'!$C$5:$C$104,0)),INDEX('C Kits'!$G$5:$G$104,MATCH($A95,'C Kits'!$C$5:$C$104,0))))</f>
        <v/>
      </c>
      <c r="C95" s="10" t="str">
        <f aca="false">IF($D95="","",INDEX('C Kits'!$D$5:$D$104,MATCH($A95,'C Kits'!$C$5:$C$104,0)))</f>
        <v/>
      </c>
      <c r="D95" s="5" t="str">
        <f aca="false">IF($A95="","",IFERROR(INDEX('C Kits'!$A$5:$A$104,MATCH($A95,'C Kits'!$C$5:$C$104,0)),""))</f>
        <v/>
      </c>
      <c r="E95" s="5" t="str">
        <f aca="false">IF($D95="","",INDEX('C Kits'!$B$5:$B$104,MATCH($A95,'C Kits'!$C$5:$C$104,0)))</f>
        <v/>
      </c>
      <c r="F95" s="5" t="str">
        <f aca="false">IF($A95="","",IF($D95="","No kit for this SKU",IF(INDEX('C Kits'!$I$5:$I$104,MATCH($A95,'C Kits'!$C$5:$C$104,0))&lt;&gt;"","Matched — shares parts","Matched")))</f>
        <v/>
      </c>
    </row>
    <row r="96" customFormat="false" ht="15" hidden="false" customHeight="false" outlineLevel="0" collapsed="false">
      <c r="A96" s="4"/>
      <c r="B96" s="5" t="str">
        <f aca="false">IF($D96="","",IF($B$3="Can pack now",INDEX('C Kits'!$F$5:$F$104,MATCH($A96,'C Kits'!$C$5:$C$104,0)),INDEX('C Kits'!$G$5:$G$104,MATCH($A96,'C Kits'!$C$5:$C$104,0))))</f>
        <v/>
      </c>
      <c r="C96" s="10" t="str">
        <f aca="false">IF($D96="","",INDEX('C Kits'!$D$5:$D$104,MATCH($A96,'C Kits'!$C$5:$C$104,0)))</f>
        <v/>
      </c>
      <c r="D96" s="5" t="str">
        <f aca="false">IF($A96="","",IFERROR(INDEX('C Kits'!$A$5:$A$104,MATCH($A96,'C Kits'!$C$5:$C$104,0)),""))</f>
        <v/>
      </c>
      <c r="E96" s="5" t="str">
        <f aca="false">IF($D96="","",INDEX('C Kits'!$B$5:$B$104,MATCH($A96,'C Kits'!$C$5:$C$104,0)))</f>
        <v/>
      </c>
      <c r="F96" s="5" t="str">
        <f aca="false">IF($A96="","",IF($D96="","No kit for this SKU",IF(INDEX('C Kits'!$I$5:$I$104,MATCH($A96,'C Kits'!$C$5:$C$104,0))&lt;&gt;"","Matched — shares parts","Matched")))</f>
        <v/>
      </c>
    </row>
    <row r="97" customFormat="false" ht="15" hidden="false" customHeight="false" outlineLevel="0" collapsed="false">
      <c r="A97" s="4"/>
      <c r="B97" s="5" t="str">
        <f aca="false">IF($D97="","",IF($B$3="Can pack now",INDEX('C Kits'!$F$5:$F$104,MATCH($A97,'C Kits'!$C$5:$C$104,0)),INDEX('C Kits'!$G$5:$G$104,MATCH($A97,'C Kits'!$C$5:$C$104,0))))</f>
        <v/>
      </c>
      <c r="C97" s="10" t="str">
        <f aca="false">IF($D97="","",INDEX('C Kits'!$D$5:$D$104,MATCH($A97,'C Kits'!$C$5:$C$104,0)))</f>
        <v/>
      </c>
      <c r="D97" s="5" t="str">
        <f aca="false">IF($A97="","",IFERROR(INDEX('C Kits'!$A$5:$A$104,MATCH($A97,'C Kits'!$C$5:$C$104,0)),""))</f>
        <v/>
      </c>
      <c r="E97" s="5" t="str">
        <f aca="false">IF($D97="","",INDEX('C Kits'!$B$5:$B$104,MATCH($A97,'C Kits'!$C$5:$C$104,0)))</f>
        <v/>
      </c>
      <c r="F97" s="5" t="str">
        <f aca="false">IF($A97="","",IF($D97="","No kit for this SKU",IF(INDEX('C Kits'!$I$5:$I$104,MATCH($A97,'C Kits'!$C$5:$C$104,0))&lt;&gt;"","Matched — shares parts","Matched")))</f>
        <v/>
      </c>
    </row>
    <row r="98" customFormat="false" ht="15" hidden="false" customHeight="false" outlineLevel="0" collapsed="false">
      <c r="A98" s="4"/>
      <c r="B98" s="5" t="str">
        <f aca="false">IF($D98="","",IF($B$3="Can pack now",INDEX('C Kits'!$F$5:$F$104,MATCH($A98,'C Kits'!$C$5:$C$104,0)),INDEX('C Kits'!$G$5:$G$104,MATCH($A98,'C Kits'!$C$5:$C$104,0))))</f>
        <v/>
      </c>
      <c r="C98" s="10" t="str">
        <f aca="false">IF($D98="","",INDEX('C Kits'!$D$5:$D$104,MATCH($A98,'C Kits'!$C$5:$C$104,0)))</f>
        <v/>
      </c>
      <c r="D98" s="5" t="str">
        <f aca="false">IF($A98="","",IFERROR(INDEX('C Kits'!$A$5:$A$104,MATCH($A98,'C Kits'!$C$5:$C$104,0)),""))</f>
        <v/>
      </c>
      <c r="E98" s="5" t="str">
        <f aca="false">IF($D98="","",INDEX('C Kits'!$B$5:$B$104,MATCH($A98,'C Kits'!$C$5:$C$104,0)))</f>
        <v/>
      </c>
      <c r="F98" s="5" t="str">
        <f aca="false">IF($A98="","",IF($D98="","No kit for this SKU",IF(INDEX('C Kits'!$I$5:$I$104,MATCH($A98,'C Kits'!$C$5:$C$104,0))&lt;&gt;"","Matched — shares parts","Matched")))</f>
        <v/>
      </c>
    </row>
    <row r="99" customFormat="false" ht="15" hidden="false" customHeight="false" outlineLevel="0" collapsed="false">
      <c r="A99" s="4"/>
      <c r="B99" s="5" t="str">
        <f aca="false">IF($D99="","",IF($B$3="Can pack now",INDEX('C Kits'!$F$5:$F$104,MATCH($A99,'C Kits'!$C$5:$C$104,0)),INDEX('C Kits'!$G$5:$G$104,MATCH($A99,'C Kits'!$C$5:$C$104,0))))</f>
        <v/>
      </c>
      <c r="C99" s="10" t="str">
        <f aca="false">IF($D99="","",INDEX('C Kits'!$D$5:$D$104,MATCH($A99,'C Kits'!$C$5:$C$104,0)))</f>
        <v/>
      </c>
      <c r="D99" s="5" t="str">
        <f aca="false">IF($A99="","",IFERROR(INDEX('C Kits'!$A$5:$A$104,MATCH($A99,'C Kits'!$C$5:$C$104,0)),""))</f>
        <v/>
      </c>
      <c r="E99" s="5" t="str">
        <f aca="false">IF($D99="","",INDEX('C Kits'!$B$5:$B$104,MATCH($A99,'C Kits'!$C$5:$C$104,0)))</f>
        <v/>
      </c>
      <c r="F99" s="5" t="str">
        <f aca="false">IF($A99="","",IF($D99="","No kit for this SKU",IF(INDEX('C Kits'!$I$5:$I$104,MATCH($A99,'C Kits'!$C$5:$C$104,0))&lt;&gt;"","Matched — shares parts","Matched")))</f>
        <v/>
      </c>
    </row>
    <row r="100" customFormat="false" ht="15" hidden="false" customHeight="false" outlineLevel="0" collapsed="false">
      <c r="A100" s="4"/>
      <c r="B100" s="5" t="str">
        <f aca="false">IF($D100="","",IF($B$3="Can pack now",INDEX('C Kits'!$F$5:$F$104,MATCH($A100,'C Kits'!$C$5:$C$104,0)),INDEX('C Kits'!$G$5:$G$104,MATCH($A100,'C Kits'!$C$5:$C$104,0))))</f>
        <v/>
      </c>
      <c r="C100" s="10" t="str">
        <f aca="false">IF($D100="","",INDEX('C Kits'!$D$5:$D$104,MATCH($A100,'C Kits'!$C$5:$C$104,0)))</f>
        <v/>
      </c>
      <c r="D100" s="5" t="str">
        <f aca="false">IF($A100="","",IFERROR(INDEX('C Kits'!$A$5:$A$104,MATCH($A100,'C Kits'!$C$5:$C$104,0)),""))</f>
        <v/>
      </c>
      <c r="E100" s="5" t="str">
        <f aca="false">IF($D100="","",INDEX('C Kits'!$B$5:$B$104,MATCH($A100,'C Kits'!$C$5:$C$104,0)))</f>
        <v/>
      </c>
      <c r="F100" s="5" t="str">
        <f aca="false">IF($A100="","",IF($D100="","No kit for this SKU",IF(INDEX('C Kits'!$I$5:$I$104,MATCH($A100,'C Kits'!$C$5:$C$104,0))&lt;&gt;"","Matched — shares parts","Matched")))</f>
        <v/>
      </c>
    </row>
    <row r="101" customFormat="false" ht="15" hidden="false" customHeight="false" outlineLevel="0" collapsed="false">
      <c r="A101" s="4"/>
      <c r="B101" s="5" t="str">
        <f aca="false">IF($D101="","",IF($B$3="Can pack now",INDEX('C Kits'!$F$5:$F$104,MATCH($A101,'C Kits'!$C$5:$C$104,0)),INDEX('C Kits'!$G$5:$G$104,MATCH($A101,'C Kits'!$C$5:$C$104,0))))</f>
        <v/>
      </c>
      <c r="C101" s="10" t="str">
        <f aca="false">IF($D101="","",INDEX('C Kits'!$D$5:$D$104,MATCH($A101,'C Kits'!$C$5:$C$104,0)))</f>
        <v/>
      </c>
      <c r="D101" s="5" t="str">
        <f aca="false">IF($A101="","",IFERROR(INDEX('C Kits'!$A$5:$A$104,MATCH($A101,'C Kits'!$C$5:$C$104,0)),""))</f>
        <v/>
      </c>
      <c r="E101" s="5" t="str">
        <f aca="false">IF($D101="","",INDEX('C Kits'!$B$5:$B$104,MATCH($A101,'C Kits'!$C$5:$C$104,0)))</f>
        <v/>
      </c>
      <c r="F101" s="5" t="str">
        <f aca="false">IF($A101="","",IF($D101="","No kit for this SKU",IF(INDEX('C Kits'!$I$5:$I$104,MATCH($A101,'C Kits'!$C$5:$C$104,0))&lt;&gt;"","Matched — shares parts","Matched")))</f>
        <v/>
      </c>
    </row>
    <row r="102" customFormat="false" ht="15" hidden="false" customHeight="false" outlineLevel="0" collapsed="false">
      <c r="A102" s="4"/>
      <c r="B102" s="5" t="str">
        <f aca="false">IF($D102="","",IF($B$3="Can pack now",INDEX('C Kits'!$F$5:$F$104,MATCH($A102,'C Kits'!$C$5:$C$104,0)),INDEX('C Kits'!$G$5:$G$104,MATCH($A102,'C Kits'!$C$5:$C$104,0))))</f>
        <v/>
      </c>
      <c r="C102" s="10" t="str">
        <f aca="false">IF($D102="","",INDEX('C Kits'!$D$5:$D$104,MATCH($A102,'C Kits'!$C$5:$C$104,0)))</f>
        <v/>
      </c>
      <c r="D102" s="5" t="str">
        <f aca="false">IF($A102="","",IFERROR(INDEX('C Kits'!$A$5:$A$104,MATCH($A102,'C Kits'!$C$5:$C$104,0)),""))</f>
        <v/>
      </c>
      <c r="E102" s="5" t="str">
        <f aca="false">IF($D102="","",INDEX('C Kits'!$B$5:$B$104,MATCH($A102,'C Kits'!$C$5:$C$104,0)))</f>
        <v/>
      </c>
      <c r="F102" s="5" t="str">
        <f aca="false">IF($A102="","",IF($D102="","No kit for this SKU",IF(INDEX('C Kits'!$I$5:$I$104,MATCH($A102,'C Kits'!$C$5:$C$104,0))&lt;&gt;"","Matched — shares parts","Matched")))</f>
        <v/>
      </c>
    </row>
    <row r="103" customFormat="false" ht="15" hidden="false" customHeight="false" outlineLevel="0" collapsed="false">
      <c r="A103" s="4"/>
      <c r="B103" s="5" t="str">
        <f aca="false">IF($D103="","",IF($B$3="Can pack now",INDEX('C Kits'!$F$5:$F$104,MATCH($A103,'C Kits'!$C$5:$C$104,0)),INDEX('C Kits'!$G$5:$G$104,MATCH($A103,'C Kits'!$C$5:$C$104,0))))</f>
        <v/>
      </c>
      <c r="C103" s="10" t="str">
        <f aca="false">IF($D103="","",INDEX('C Kits'!$D$5:$D$104,MATCH($A103,'C Kits'!$C$5:$C$104,0)))</f>
        <v/>
      </c>
      <c r="D103" s="5" t="str">
        <f aca="false">IF($A103="","",IFERROR(INDEX('C Kits'!$A$5:$A$104,MATCH($A103,'C Kits'!$C$5:$C$104,0)),""))</f>
        <v/>
      </c>
      <c r="E103" s="5" t="str">
        <f aca="false">IF($D103="","",INDEX('C Kits'!$B$5:$B$104,MATCH($A103,'C Kits'!$C$5:$C$104,0)))</f>
        <v/>
      </c>
      <c r="F103" s="5" t="str">
        <f aca="false">IF($A103="","",IF($D103="","No kit for this SKU",IF(INDEX('C Kits'!$I$5:$I$104,MATCH($A103,'C Kits'!$C$5:$C$104,0))&lt;&gt;"","Matched — shares parts","Matched")))</f>
        <v/>
      </c>
    </row>
    <row r="104" customFormat="false" ht="15" hidden="false" customHeight="false" outlineLevel="0" collapsed="false">
      <c r="A104" s="4"/>
      <c r="B104" s="5" t="str">
        <f aca="false">IF($D104="","",IF($B$3="Can pack now",INDEX('C Kits'!$F$5:$F$104,MATCH($A104,'C Kits'!$C$5:$C$104,0)),INDEX('C Kits'!$G$5:$G$104,MATCH($A104,'C Kits'!$C$5:$C$104,0))))</f>
        <v/>
      </c>
      <c r="C104" s="10" t="str">
        <f aca="false">IF($D104="","",INDEX('C Kits'!$D$5:$D$104,MATCH($A104,'C Kits'!$C$5:$C$104,0)))</f>
        <v/>
      </c>
      <c r="D104" s="5" t="str">
        <f aca="false">IF($A104="","",IFERROR(INDEX('C Kits'!$A$5:$A$104,MATCH($A104,'C Kits'!$C$5:$C$104,0)),""))</f>
        <v/>
      </c>
      <c r="E104" s="5" t="str">
        <f aca="false">IF($D104="","",INDEX('C Kits'!$B$5:$B$104,MATCH($A104,'C Kits'!$C$5:$C$104,0)))</f>
        <v/>
      </c>
      <c r="F104" s="5" t="str">
        <f aca="false">IF($A104="","",IF($D104="","No kit for this SKU",IF(INDEX('C Kits'!$I$5:$I$104,MATCH($A104,'C Kits'!$C$5:$C$104,0))&lt;&gt;"","Matched — shares parts","Matched")))</f>
        <v/>
      </c>
    </row>
  </sheetData>
  <dataValidations count="1">
    <dataValidation allowBlank="false" errorStyle="stop" operator="between" showDropDown="false" showErrorMessage="false" showInputMessage="false" sqref="B3" type="list">
      <formula1>"Can pack now,Can pack if we build"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2026-08-29T14:07:05Z</dcterms:created>
  <dc:creator>openpyxl</dc:creator>
  <dc:description/>
  <dc:language>en-US</dc:language>
  <cp:lastModifiedBy/>
  <dcterms:modified xsi:type="dcterms:W3CDTF">2026-08-29T14:07:14Z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